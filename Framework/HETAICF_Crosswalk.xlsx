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xr:revisionPtr revIDLastSave="1" documentId="11_F9D8CB39CA29308F51714317936FE7C22C4F7088" xr6:coauthVersionLast="47" xr6:coauthVersionMax="47" xr10:uidLastSave="{FEB541D3-59C6-4E0D-AC07-1CF1AF3C5C41}"/>
  <bookViews>
    <workbookView xWindow="0" yWindow="0" windowWidth="16384" windowHeight="8192" tabRatio="500" activeTab="5" xr2:uid="{00000000-000D-0000-FFFF-FFFF00000000}"/>
  </bookViews>
  <sheets>
    <sheet name="1 README" sheetId="1" r:id="rId1"/>
    <sheet name="3 Crosswalk Matrix" sheetId="3" r:id="rId2"/>
    <sheet name="2 Competence Register" sheetId="2" r:id="rId3"/>
    <sheet name="4 Object Scope" sheetId="4" r:id="rId4"/>
    <sheet name="5 Coverage Grid" sheetId="5" r:id="rId5"/>
    <sheet name="6 Object Axis" sheetId="6" r:id="rId6"/>
    <sheet name="7 Absorption Map" sheetId="7" r:id="rId7"/>
    <sheet name="8 Progression Mapping" sheetId="8" r:id="rId8"/>
    <sheet name="9 Criteria Coverage" sheetId="9" r:id="rId9"/>
    <sheet name="10 Legal Layer" sheetId="10" r:id="rId10"/>
    <sheet name="11 Open Gaps" sheetId="11" r:id="rId11"/>
    <sheet name="12 References" sheetId="12" r:id="rId12"/>
  </sheets>
  <definedNames>
    <definedName name="_xlnm._FilterDatabase" localSheetId="2" hidden="1">'2 Competence Register'!$A$1:$P$23</definedName>
    <definedName name="_xlnm._FilterDatabase" localSheetId="1" hidden="1">'3 Crosswalk Matrix'!$A$1:$M$23</definedName>
    <definedName name="_xlnm._FilterDatabase" localSheetId="3" hidden="1">'4 Object Scope'!$A$1:$J$60</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7" l="1"/>
  <c r="D25" i="5"/>
  <c r="H24" i="5"/>
  <c r="G24" i="5"/>
  <c r="F24" i="5"/>
  <c r="E24" i="5"/>
  <c r="D24" i="5"/>
  <c r="I23" i="5"/>
  <c r="I22" i="5"/>
  <c r="I21" i="5"/>
  <c r="I20" i="5"/>
  <c r="I19" i="5"/>
  <c r="I18" i="5"/>
  <c r="I17" i="5"/>
  <c r="I16" i="5"/>
  <c r="I15" i="5"/>
  <c r="I14" i="5"/>
  <c r="I13" i="5"/>
  <c r="I12" i="5"/>
  <c r="I11" i="5"/>
  <c r="I10" i="5"/>
  <c r="I9" i="5"/>
  <c r="I8" i="5"/>
  <c r="I7" i="5"/>
  <c r="I6" i="5"/>
  <c r="I5" i="5"/>
  <c r="I4" i="5"/>
  <c r="I3" i="5"/>
  <c r="I2" i="5"/>
  <c r="F25" i="5" l="1"/>
  <c r="I24" i="5"/>
</calcChain>
</file>

<file path=xl/sharedStrings.xml><?xml version="1.0" encoding="utf-8"?>
<sst xmlns="http://schemas.openxmlformats.org/spreadsheetml/2006/main" count="1766" uniqueCount="1131">
  <si>
    <t>HETAICF v0.11 — The Widened Core Concepts Model</t>
  </si>
  <si>
    <t>KI-Kompetenzrahmen für Hochschullehrende · v0.10 (Widened Core Concepts, W3)</t>
  </si>
  <si>
    <t>Arbeitskreis Digitalisierung im Lehramt · ZLB · Otto-von-Guericke University Magdeburg · August 2026</t>
  </si>
  <si>
    <t>Item</t>
  </si>
  <si>
    <t>Description</t>
  </si>
  <si>
    <t>The model</t>
  </si>
  <si>
    <t>Structurally identical to the OECD/EU AILit Framework (2026): 4 domains, 19 competences. Higher-education professional practice is carried by a declared object scope (O1–O5) on the core competences, not by additional domains.</t>
  </si>
  <si>
    <t>Widening mechanism</t>
  </si>
  <si>
    <t>Each AILit competence = core concept (the cognitive operation, retained verbatim) + object scope (what it operates on, left implicit by AILit). Widening declares the object scope and extends it to academic teaching. Contextualisation, not redefinition.</t>
  </si>
  <si>
    <t>Why not domains</t>
  </si>
  <si>
    <t>Sun et al. (2026) present GenAI Literacy, Curriculum/Learning Design, Teaching and Learning and Assessment as one axis of a Dimensions × Tiers × Perspectives matrix (Table 6), not as domains. The object axis reproduces their architecture as built.</t>
  </si>
  <si>
    <t>Stratum X</t>
  </si>
  <si>
    <t>3 units for which the widening mechanism fails: applying law (X1), scholarly work (X2) and professional development (X3) are operations the AILit Framework does not contain at all. Not a fifth domain.</t>
  </si>
  <si>
    <t>Unit count</t>
  </si>
  <si>
    <t>22 = 19 + 3. Mid-corridor on the 15–35 granularity criterion (KK-A2); v0.9 had 35.</t>
  </si>
  <si>
    <t>Tagging</t>
  </si>
  <si>
    <t>A triple: competence ID × object × perspective, e.g. 'HET-M4 · O4 · P2'. Level is an optional fourth facet. Sheet 4 holds one row per activated cell — that sheet is the tagging vocabulary.</t>
  </si>
  <si>
    <t>Coverage grid</t>
  </si>
  <si>
    <t>Sheet 5: 19 × 5. 59 of 95 cells activated. Mapped against a material inventory, empty cells are visible holes in the collection.</t>
  </si>
  <si>
    <t>Migration from v0.9</t>
  </si>
  <si>
    <t>Sheet 7 maps all 16 former professional-practice units to their v0.10 host, object and fit. 13 absorb cleanly; 2 collapse into the P2 perspective; 3 become Stratum X.</t>
  </si>
  <si>
    <t>Methodological rule</t>
  </si>
  <si>
    <t>Unchanged: no competence is newly invented. Every unit and every object cell cites at least one defined competence from an existing framework.</t>
  </si>
  <si>
    <t>Sheets</t>
  </si>
  <si>
    <t>1 README · 2 Competence Register · 3 Crosswalk Matrix · 4 Object Scope (tagging vocabulary) · 5 Coverage Grid · 6 Object Axis · 7 Absorption Map v0.9→v0.11 · 8 Progression Mapping · 9 Criteria Coverage · 10 Legal Layer · 11 Open Gaps · 12 References</t>
  </si>
  <si>
    <t>Domain</t>
  </si>
  <si>
    <t>Competence ID</t>
  </si>
  <si>
    <t>Competence (EN)</t>
  </si>
  <si>
    <t>OECD/EU AILit (2026)</t>
  </si>
  <si>
    <t>UNESCO AI-CFT Teachers (2024/25)</t>
  </si>
  <si>
    <t>UNESCO ICT-CFT (2018)</t>
  </si>
  <si>
    <t>DigCompEdu (2017) + AI Suppl. (2023)</t>
  </si>
  <si>
    <t>DigComp 2.2 (2022)</t>
  </si>
  <si>
    <t>Long &amp; Magerko (2020)</t>
  </si>
  <si>
    <t>KMK (2021/2024)</t>
  </si>
  <si>
    <t>Sun et al. (2026)</t>
  </si>
  <si>
    <t>EU AI Act / GDPR (legal floor)</t>
  </si>
  <si>
    <t>DACT v1.0 (2026)</t>
  </si>
  <si>
    <t>D1</t>
  </si>
  <si>
    <t>HET-E1</t>
  </si>
  <si>
    <t>Recognise AI's role and influence in academic contexts</t>
  </si>
  <si>
    <t>Engage 1 (E1)</t>
  </si>
  <si>
    <t>3.1 Basic AI Techniques</t>
  </si>
  <si>
    <t>A1.L1</t>
  </si>
  <si>
    <t>6.1</t>
  </si>
  <si>
    <t>1.2</t>
  </si>
  <si>
    <t>LM-1</t>
  </si>
  <si>
    <t>2024 §2.1</t>
  </si>
  <si>
    <t>GenAI Literacy · Basic (teacher's own)</t>
  </si>
  <si>
    <t>Art. 4 (literacy duty)</t>
  </si>
  <si>
    <t>ALCE L1</t>
  </si>
  <si>
    <t>HET-E2</t>
  </si>
  <si>
    <t>Describe how AI systems perform tasks in accurate, non-anthropomorphic language</t>
  </si>
  <si>
    <t>Engage 2 (E2)</t>
  </si>
  <si>
    <t>A4.L1</t>
  </si>
  <si>
    <t>Suppl. 2.3</t>
  </si>
  <si>
    <t>LM-7, LM-8, LM-9</t>
  </si>
  <si>
    <t>GenAI Literacy · Basic (own literacy)</t>
  </si>
  <si>
    <t>Art. 4</t>
  </si>
  <si>
    <t>HET-E3</t>
  </si>
  <si>
    <t>Evaluate whether AI outputs should be accepted, revised, or rejected</t>
  </si>
  <si>
    <t>Engage 3 (E3)</t>
  </si>
  <si>
    <t>3.2 Application Skills</t>
  </si>
  <si>
    <t>A4.L2</t>
  </si>
  <si>
    <t>2.1</t>
  </si>
  <si>
    <t>LM-13</t>
  </si>
  <si>
    <t>2024 §2.2</t>
  </si>
  <si>
    <t>GenAI Literacy · Intermediate (both perspectives)</t>
  </si>
  <si>
    <t>Art. 14 (oversight)</t>
  </si>
  <si>
    <t>ALCE L2</t>
  </si>
  <si>
    <t>HET-E4</t>
  </si>
  <si>
    <t>Examine how predictive AI recommendations can inform or limit perspectives</t>
  </si>
  <si>
    <t>Engage 4 (E4)</t>
  </si>
  <si>
    <t>1.1 Human Agency</t>
  </si>
  <si>
    <t>A1.L2</t>
  </si>
  <si>
    <t>1.1, 1.2</t>
  </si>
  <si>
    <t>LM-8</t>
  </si>
  <si>
    <t>GenAI Literacy · Intermediate (critical engagement)</t>
  </si>
  <si>
    <t>Annex III §3(b)</t>
  </si>
  <si>
    <t>ALCE L2 / AILA L2</t>
  </si>
  <si>
    <t>HET-E5</t>
  </si>
  <si>
    <t>Compare how AI systems consume energy and natural resources</t>
  </si>
  <si>
    <t>Engage 5 (E5)</t>
  </si>
  <si>
    <t>2.1 Ethical Principles (sustainability)</t>
  </si>
  <si>
    <t>—</t>
  </si>
  <si>
    <t>Suppl. transversal</t>
  </si>
  <si>
    <t>4.4</t>
  </si>
  <si>
    <t>EDGL L1–L3</t>
  </si>
  <si>
    <t>HET-E6</t>
  </si>
  <si>
    <t>Explain how AI can amplify societal biases and concentrate epistemic authority</t>
  </si>
  <si>
    <t>Engage 6 (E6)</t>
  </si>
  <si>
    <t>2.1 Ethical Principles; 1.3 Social Responsibility</t>
  </si>
  <si>
    <t>A1.L3</t>
  </si>
  <si>
    <t>6.1, 6.4</t>
  </si>
  <si>
    <t>2.3</t>
  </si>
  <si>
    <t>LM-16</t>
  </si>
  <si>
    <t>Sociocultural perspective (§3.1.3)</t>
  </si>
  <si>
    <t>Art. 5(1)(b); Recital 56</t>
  </si>
  <si>
    <t>EDGL L2–L3</t>
  </si>
  <si>
    <t>HET-E7</t>
  </si>
  <si>
    <t>Analyse how well AI use aligns with ethical principles and human values</t>
  </si>
  <si>
    <t>Engage 7 (E7)</t>
  </si>
  <si>
    <t>2.1 Ethical Principles; 1.1 Human Agency</t>
  </si>
  <si>
    <t>6.4</t>
  </si>
  <si>
    <t>GenAI Literacy · Basic/Intermediate (ethical caution, reflection)</t>
  </si>
  <si>
    <t>Art. 4; Art. 5</t>
  </si>
  <si>
    <t>D2</t>
  </si>
  <si>
    <t>HET-C1</t>
  </si>
  <si>
    <t>Use AI to explore perspectives that build upon original academic ideas</t>
  </si>
  <si>
    <t>Create 1 (C1)</t>
  </si>
  <si>
    <t>3.2 Application Skills; 5.1 CPD</t>
  </si>
  <si>
    <t>A3.L2</t>
  </si>
  <si>
    <t>2.2</t>
  </si>
  <si>
    <t>3.1</t>
  </si>
  <si>
    <t>LM-6</t>
  </si>
  <si>
    <t>2024 §2.4</t>
  </si>
  <si>
    <t>Curriculum/Learning Design · Basic → GenAI Literacy · Advanced</t>
  </si>
  <si>
    <t>DPT L1–L3</t>
  </si>
  <si>
    <t>HET-C2</t>
  </si>
  <si>
    <t>Visualise, prototype and combine ideas using different types of AI systems</t>
  </si>
  <si>
    <t>Create 2 (C2)</t>
  </si>
  <si>
    <t>3.3 Creating with AI</t>
  </si>
  <si>
    <t>A4.L3</t>
  </si>
  <si>
    <t>3.1, 5.3</t>
  </si>
  <si>
    <t>2021 §1</t>
  </si>
  <si>
    <t>Teaching and Learning · Basic (interactive materials)</t>
  </si>
  <si>
    <t>DPT L2</t>
  </si>
  <si>
    <t>HET-C3</t>
  </si>
  <si>
    <t>Direct and iterate with generative AI systems (prompting as a documented practice)</t>
  </si>
  <si>
    <t>Create 3 (C3)</t>
  </si>
  <si>
    <t>3.4, Suppl. 2.2</t>
  </si>
  <si>
    <t>3.2</t>
  </si>
  <si>
    <t>LM-17</t>
  </si>
  <si>
    <t>GenAI Literacy · Basic → Advanced (Appendix A, both perspectives)</t>
  </si>
  <si>
    <t>ALCE L1–L3</t>
  </si>
  <si>
    <t>HET-C4</t>
  </si>
  <si>
    <t>Analyse how AI can safeguard or violate authenticity, authorship and intellectual property</t>
  </si>
  <si>
    <t>Create 4 (C4)</t>
  </si>
  <si>
    <t>2.2 Safe and Responsible Use</t>
  </si>
  <si>
    <t>2.3, 6.4</t>
  </si>
  <si>
    <t>3.3</t>
  </si>
  <si>
    <t>2024 §2.3</t>
  </si>
  <si>
    <t>GenAI Literacy · all tiers (ethical guidelines, privacy)</t>
  </si>
  <si>
    <t>Copyright law; Art. 50 (transparency)</t>
  </si>
  <si>
    <t>D3</t>
  </si>
  <si>
    <t>HET-M1</t>
  </si>
  <si>
    <t>Decide whether to use AI based on the nature of the academic task, including reasoned non-use</t>
  </si>
  <si>
    <t>Manage 1 (M1)</t>
  </si>
  <si>
    <t>4.1 AI-Assisted Teaching</t>
  </si>
  <si>
    <t>A3.L1</t>
  </si>
  <si>
    <t>5.2</t>
  </si>
  <si>
    <t>LM-5</t>
  </si>
  <si>
    <t>Teaching and Learning · Basic/Intermediate (task selection)</t>
  </si>
  <si>
    <t>Art. 4; Art. 14</t>
  </si>
  <si>
    <t>DPT L1–L2</t>
  </si>
  <si>
    <t>HET-M2</t>
  </si>
  <si>
    <t>Choose an appropriate AI approach by comparing how different systems operate</t>
  </si>
  <si>
    <t>Manage 2 (M2)</t>
  </si>
  <si>
    <t>3.1 Basic AI Techniques; 3.3 Creating with AI</t>
  </si>
  <si>
    <t>LM-4</t>
  </si>
  <si>
    <t>GenAI Literacy · Intermediate (contextual adaptation)</t>
  </si>
  <si>
    <t>Art. 4; Art. 26</t>
  </si>
  <si>
    <t>ALCE L2–L3</t>
  </si>
  <si>
    <t>HET-M3</t>
  </si>
  <si>
    <t>Decompose a task to determine where AI should automate and where it should only augment</t>
  </si>
  <si>
    <t>Manage 3 (M3)</t>
  </si>
  <si>
    <t>4.2 AI–Pedagogy Integration</t>
  </si>
  <si>
    <t>3.4</t>
  </si>
  <si>
    <t>LM-9</t>
  </si>
  <si>
    <t>2024 §2.4, §2.5</t>
  </si>
  <si>
    <t>§5.1 over-reliance; Teaching and Learning · Advanced</t>
  </si>
  <si>
    <t>Art. 14 (competence maintenance)</t>
  </si>
  <si>
    <t>OPCI L3 (anti-deskilling)</t>
  </si>
  <si>
    <t>HET-M4</t>
  </si>
  <si>
    <t>Monitor and evaluate AI use throughout an academic process</t>
  </si>
  <si>
    <t>Manage 4 (M4)</t>
  </si>
  <si>
    <t>1.2 Human Accountability</t>
  </si>
  <si>
    <t>A5.L2</t>
  </si>
  <si>
    <t>4.2</t>
  </si>
  <si>
    <t>5.1</t>
  </si>
  <si>
    <t>LM-10</t>
  </si>
  <si>
    <t>Assessment · Intermediate (progress monitoring)</t>
  </si>
  <si>
    <t>Art. 14; Art. 26; GDPR Art. 22</t>
  </si>
  <si>
    <t>AILA L2–L3</t>
  </si>
  <si>
    <t>D4</t>
  </si>
  <si>
    <t>HET-S1</t>
  </si>
  <si>
    <t>Investigate how an AI system is intended to work, whom it is designed for, and what its limits are</t>
  </si>
  <si>
    <t>Shape 1 (S1)</t>
  </si>
  <si>
    <t>3.2 Application Skills (ethics by design)</t>
  </si>
  <si>
    <t>LM-5, LM-10</t>
  </si>
  <si>
    <t>GenAI Literacy · Advanced (reflective collaboration)</t>
  </si>
  <si>
    <t>Art. 26; Art. 27 (FRIA)</t>
  </si>
  <si>
    <t>ALCE L3 / EDGL L3</t>
  </si>
  <si>
    <t>HET-S2</t>
  </si>
  <si>
    <t>Evaluate AI systems using defined outcomes, test cases and user feedback</t>
  </si>
  <si>
    <t>Shape 2 (S2)</t>
  </si>
  <si>
    <t>1.3, 4.2</t>
  </si>
  <si>
    <t>5.4</t>
  </si>
  <si>
    <t>2021 §1.4</t>
  </si>
  <si>
    <t>§6.2 validation and instrument development</t>
  </si>
  <si>
    <t>Art. 26; Art. 27</t>
  </si>
  <si>
    <t>ALCE L3 / AILA L3</t>
  </si>
  <si>
    <t>HET-S3</t>
  </si>
  <si>
    <t>Design AI use attentive to data sources, data selection and information flow</t>
  </si>
  <si>
    <t>Shape 3 (S3)</t>
  </si>
  <si>
    <t>3.3 Creating with AI; 2.2 Safe and Responsible Use</t>
  </si>
  <si>
    <t>LM-11, LM-12</t>
  </si>
  <si>
    <t>2021 §1.2; 2024 §2.3</t>
  </si>
  <si>
    <t>Curriculum/Learning Design · Advanced (real-world data)</t>
  </si>
  <si>
    <t>GDPR Arts. 5, 32; Art. 10 AI Act</t>
  </si>
  <si>
    <t>IFCT L2–L3</t>
  </si>
  <si>
    <t>HET-S4</t>
  </si>
  <si>
    <t>Improve AI use and AI systems to promote well-being and societal benefit</t>
  </si>
  <si>
    <t>Shape 4 (S4)</t>
  </si>
  <si>
    <t>1.3 Social Responsibility; 2.3 Co-creating Ethical Rules</t>
  </si>
  <si>
    <t>2024 §2.5</t>
  </si>
  <si>
    <t>§5.1 equity and adaptive implementation</t>
  </si>
  <si>
    <t>Art. 26; Art. 27; market surveillance</t>
  </si>
  <si>
    <t>EDGL L3 / OPCI L3</t>
  </si>
  <si>
    <t>X</t>
  </si>
  <si>
    <t>HET-X1</t>
  </si>
  <si>
    <t>Apply the legal framework for AI in higher education</t>
  </si>
  <si>
    <t>— (cited as context, no legal competence)</t>
  </si>
  <si>
    <t>2.2 Safe and Responsible Use; 1.2 Human Accountability</t>
  </si>
  <si>
    <t>4.2, 3.3</t>
  </si>
  <si>
    <t>GenAI Literacy · Basic (privacy and data security rules)</t>
  </si>
  <si>
    <t>Arts. 4, 5(1)(b)/(f), 14, 26, 27, 50; Annex III §3; GDPR Arts. 5, 22</t>
  </si>
  <si>
    <t>HET-X2</t>
  </si>
  <si>
    <t>Practise scholarly work with AI</t>
  </si>
  <si>
    <t>— (gap: scholarly work absent)</t>
  </si>
  <si>
    <t>1.3, 2.2</t>
  </si>
  <si>
    <t>1.1, 1.2, 1.3</t>
  </si>
  <si>
    <t>LM-11, LM-13</t>
  </si>
  <si>
    <t>Appendix E (Research Methods worked example, all tiers)</t>
  </si>
  <si>
    <t>Art. 50; research funder and journal rules</t>
  </si>
  <si>
    <t>ALCE L2–L3 (extension)</t>
  </si>
  <si>
    <t>HET-X3</t>
  </si>
  <si>
    <t>Develop professionally and collaboratively with AI</t>
  </si>
  <si>
    <t>Roles and responsibilities (pp. 10–14, not a competence)</t>
  </si>
  <si>
    <t>5.1, 5.2, 5.3 AI for Professional Development</t>
  </si>
  <si>
    <t>A6.L1–L3</t>
  </si>
  <si>
    <t>1.1, 1.2, 1.4</t>
  </si>
  <si>
    <t>2021 §1.4; 2024 §2.5</t>
  </si>
  <si>
    <t>GenAI Literacy · Advanced (professional learning communities)</t>
  </si>
  <si>
    <t>Art. 4 (institutional duty)</t>
  </si>
  <si>
    <t>OPCI L1–L3</t>
  </si>
  <si>
    <t>Domain (EN)</t>
  </si>
  <si>
    <t>Competence (DE)</t>
  </si>
  <si>
    <t>Definition (EN)</t>
  </si>
  <si>
    <t>Definition (DE)</t>
  </si>
  <si>
    <t>Objects</t>
  </si>
  <si>
    <t>Foundation</t>
  </si>
  <si>
    <t>Applied</t>
  </si>
  <si>
    <t>Advanced</t>
  </si>
  <si>
    <t>P1 — Own proficiency (axis after Sun et al. 2026; HETAICF wording)</t>
  </si>
  <si>
    <t>P2 — Empowering students (axis after Sun et al. 2026; HETAICF wording)</t>
  </si>
  <si>
    <t>Source IDs</t>
  </si>
  <si>
    <t>Provenance (EN)</t>
  </si>
  <si>
    <t>Criteria</t>
  </si>
  <si>
    <t>Engage with AI</t>
  </si>
  <si>
    <t>Rolle und Einfluss von KI in akademischen Kontexten erkennen</t>
  </si>
  <si>
    <t>The capacity to identify where AI systems are operating within the teaching, learning, research and administrative processes of a higher education institution, and to describe what influence they exert on those processes. This includes systems that are not visibly labelled as AI, such as ranking logic in literature discovery, learning analytics in a virtual learning environment, or scoring components in admissions tooling.</t>
  </si>
  <si>
    <t>Die Fähigkeit, zu erkennen, wo KI-Systeme in Lehr-, Lern-, Forschungs- und Verwaltungsprozessen einer Hochschule wirksam sind, und zu beschreiben, welchen Einfluss sie auf diese Prozesse ausüben. Dies schließt Systeme ein, die nicht sichtbar als KI ausgewiesen sind, etwa Ranking-Logiken der Literaturrecherche, Learning Analytics im Lernmanagementsystem oder Scoring-Komponenten in Zulassungsverfahren.</t>
  </si>
  <si>
    <t>O1, O3, O5</t>
  </si>
  <si>
    <t>Identifies AI systems in one's own teaching and research environment and names their function.</t>
  </si>
  <si>
    <t>Explains how identified AI systems shape academic workflows, and compares their influence across contexts.</t>
  </si>
  <si>
    <t>Maps the institution's AI deployment landscape and analyses systemic influence on academic practice.</t>
  </si>
  <si>
    <t>Recognises AI in the tools of one's own discipline and teaching practice.</t>
  </si>
  <si>
    <t>Enables students to identify AI in study apps, search engines and writing tools they already use.</t>
  </si>
  <si>
    <t>OECD-E1 · LM-1 · DC-1.2</t>
  </si>
  <si>
    <t>OECD-E1 retained verbatim in substance; supported by Long &amp; Magerko LM-1 (Recognizing AI) and DigComp 2.2 DC-1.2. HE contextualisation only — no redefinition.</t>
  </si>
  <si>
    <t>KK-B1</t>
  </si>
  <si>
    <t>Die Funktionsweise von KI-Systemen präzise und nicht-anthropomorph beschreiben</t>
  </si>
  <si>
    <t>The capacity to explain, in technically accurate terms, how an AI system produces its outputs — through training data, statistical inference and probabilistic generation rather than understanding, intention or knowledge — and to sustain that precision in teaching, in written course documentation and in institutional communication. For generative systems this explicitly includes naming hallucination as a structural property rather than an occasional malfunction.</t>
  </si>
  <si>
    <t>Die Fähigkeit, in fachlich korrekten Begriffen zu erklären, wie ein KI-System seine Ausgaben erzeugt — über Trainingsdaten, statistische Inferenz und probabilistische Generierung statt über Verstehen, Absicht oder Wissen — und diese Präzision in der Lehre, in Modulunterlagen und in der institutionellen Kommunikation durchzuhalten. Für generative Systeme schließt dies ausdrücklich ein, Halluzination als strukturelle Eigenschaft und nicht als gelegentliche Fehlfunktion zu benennen.</t>
  </si>
  <si>
    <t>Distinguishes anthropomorphic from technically accurate descriptions of AI systems and uses the latter.</t>
  </si>
  <si>
    <t>Explains model behaviour including training data, inference and hallucination to non-specialist audiences.</t>
  </si>
  <si>
    <t>Sets terminological standards for the institution and corrects anthropomorphic framing in policy and public communication.</t>
  </si>
  <si>
    <t>Models precise language about AI in lectures, syllabi and publications.</t>
  </si>
  <si>
    <t>Requires and supports students in describing AI outputs as statistical predictions, not as knowledge.</t>
  </si>
  <si>
    <t>OECD-E2 · UN-3.1 · LM-7 · LM-8 · LM-9 · Sun-A(Basic)</t>
  </si>
  <si>
    <t>OECD-E2 retained; technical substance supported by UNESCO 3.1, Long &amp; Magerko LM-7/8/9. The explicit naming of hallucination and LLM specifics follows Sun et al. (2026, Appendix A, Basic tier) and responds to criterion B1/B8, where the UNESCO frameworks were found not to name LLM specifics.</t>
  </si>
  <si>
    <t>KK-B1, KK-B8</t>
  </si>
  <si>
    <t>Bewerten, ob KI-Ausgaben akzeptiert, überarbeitet oder verworfen werden</t>
  </si>
  <si>
    <t>The capacity to subject an AI output to a deliberate verification decision before it enters any academic product — a lecture, a feedback text, a grade, a manuscript or an administrative record — assessing it for factual accuracy, bias, disciplinary appropriateness and fitness for the intended purpose. The competence is defined by the decision, not by the checking activity: acceptance, revision and rejection are all legitimate outcomes that must be justifiable.</t>
  </si>
  <si>
    <t>Die Fähigkeit, eine KI-Ausgabe einer bewussten Prüfentscheidung zu unterziehen, bevor sie in ein akademisches Produkt eingeht — eine Lehrveranstaltung, einen Feedbacktext, eine Note, ein Manuskript oder einen Verwaltungsdatensatz —, und sie dabei auf sachliche Richtigkeit, Verzerrung, fachliche Angemessenheit und Zweckeignung zu prüfen. Die Kompetenz bemisst sich an der Entscheidung, nicht an der Prüftätigkeit: Annahme, Überarbeitung und Ablehnung sind gleichermaßen legitime, aber begründungspflichtige Ergebnisse.</t>
  </si>
  <si>
    <t>O1, O2, O4</t>
  </si>
  <si>
    <t>Verifies AI outputs against a reliable source before use and rejects unverifiable material.</t>
  </si>
  <si>
    <t>Applies structured evaluation criteria for accuracy, bias and disciplinary fit, and documents the resulting decision.</t>
  </si>
  <si>
    <t>Develops and disseminates evaluation rubrics for AI outputs within the discipline or institution.</t>
  </si>
  <si>
    <t>Never transfers an AI output into teaching or research without an explicit verification decision.</t>
  </si>
  <si>
    <t>Guides students to critically review AI-generated content and to identify and verify inaccuracies and biased language.</t>
  </si>
  <si>
    <t>OECD-E3 · LM-13 · UN-3.2 · DCE-2.1 · Sun-A(Intermediate)</t>
  </si>
  <si>
    <t>OECD-E3 retained. The dual-perspective descriptors are taken from Sun et al. (2026, Appendix A, Intermediate tier), whose wording on reviewing AI-generated content critically and verifying inaccuracies or biased language is the most operational available formulation. Addresses criterion B3 (artefact critique).</t>
  </si>
  <si>
    <t>KK-B3</t>
  </si>
  <si>
    <t>Untersuchen, wie Empfehlungen prädiktiver KI Perspektiven erweitern oder verengen</t>
  </si>
  <si>
    <t>The capacity to analyse how recommendation and ranking systems shape what is seen, read and considered in academic work, and to identify the resulting narrowing effects. In higher education this applies above all to literature discovery and citation recommendation, to adaptive learning paths, and to any system that steers students towards or away from particular courses, resources or trajectories.</t>
  </si>
  <si>
    <t>Die Fähigkeit, zu analysieren, wie Empfehlungs- und Ranking-Systeme prägen, was in der wissenschaftlichen Arbeit gesehen, gelesen und erwogen wird, und die daraus folgenden Verengungseffekte zu identifizieren. Im Hochschulkontext betrifft dies vor allem Literaturrecherche und Zitationsempfehlung, adaptive Lernpfade sowie jedes System, das Studierende zu bestimmten Kursen, Ressourcen oder Bildungswegen hin- oder von ihnen weglenkt.</t>
  </si>
  <si>
    <t>O2, O3, O4, O5</t>
  </si>
  <si>
    <t>Recognises that recommendation systems pre-select and that this pre-selection is not neutral.</t>
  </si>
  <si>
    <t>Compares what AI-supported and non-AI-supported routes to information and resources make visible — literature discovery being one worked example — and reflects on how such recommendations steer learning paths.</t>
  </si>
  <si>
    <t>Analyses recommendation logics in institutional systems and their equity consequences, including under Annex III §3(b).</t>
  </si>
  <si>
    <t>Counteracts narrowing effects in own literature work through deliberate methodological diversification.</t>
  </si>
  <si>
    <t>Enables students to recognise filter effects in study recommendations and search results.</t>
  </si>
  <si>
    <t>OECD-E4 · LM-8 · UN-1.1 · DC-1.1</t>
  </si>
  <si>
    <t>OECD-E4 retained; supported by UNESCO 1.1 (Human Agency) and DigComp 2.2 DC-1.1. The high-risk reference at Advanced level is a legal constraint (Annex III §3(b)), not an added competence.</t>
  </si>
  <si>
    <t>KK-B4, KK-B7</t>
  </si>
  <si>
    <t>Energie- und Ressourcenverbrauch von KI-Systemen vergleichen</t>
  </si>
  <si>
    <t>The capacity to take the material and environmental cost of AI use into account as a criterion in academic decision-making — in the choice of tools for teaching, in the design of research pipelines and in institutional procurement — and to compare systems on this basis rather than on functionality alone.</t>
  </si>
  <si>
    <t>Die Fähigkeit, die materiellen und ökologischen Kosten der KI-Nutzung als Kriterium akademischer Entscheidungen einzubeziehen — bei der Werkzeugwahl in der Lehre, beim Design von Forschungsprozessen und in der institutionellen Beschaffung — und Systeme auf dieser Grundlage und nicht allein nach Funktionalität zu vergleichen.</t>
  </si>
  <si>
    <t>Knows that AI use causes energy, water and hardware costs and can name orders of magnitude.</t>
  </si>
  <si>
    <t>Includes resource consumption as an explicit criterion in tool selection and course design.</t>
  </si>
  <si>
    <t>Contributes sustainability criteria to institutional AI procurement and reporting.</t>
  </si>
  <si>
    <t>Weighs resource cost against pedagogical benefit when selecting tools.</t>
  </si>
  <si>
    <t>Makes the environmental cost of AI use a subject of reflection with students.</t>
  </si>
  <si>
    <t>OECD-E5 · UN-2.1 · DC-4.4</t>
  </si>
  <si>
    <t>OECD-E5 retained; anchored in the UNESCO sustainability principle (2.1) and DigComp 2.2 DC-4.4 (protecting the environment).</t>
  </si>
  <si>
    <t>KK-B7</t>
  </si>
  <si>
    <t>Erklären, wie KI gesellschaftliche Verzerrungen verstärkt und epistemische Autorität konzentriert</t>
  </si>
  <si>
    <t>The capacity to explain how bias enters AI systems at the stages of data, design, development and deployment, and how their use in higher education can reproduce or amplify existing inequalities in access, assessment and academic recognition. In this framework the competence extends explicitly to the concentration of platform and corporate power and to the resulting shifts in epistemic authority over what counts as valid academic knowledge.</t>
  </si>
  <si>
    <t>Die Fähigkeit, zu erklären, wie Verzerrungen auf den Stufen Daten, Design, Entwicklung und Einsatz in KI-Systeme gelangen und wie deren Nutzung in der Hochschule bestehende Ungleichheiten in Zugang, Bewertung und akademischer Anerkennung reproduzieren oder verstärken kann. In diesem Rahmen erstreckt sich die Kompetenz ausdrücklich auf die Konzentration von Plattform- und Unternehmensmacht sowie auf die daraus folgenden Verschiebungen epistemischer Autorität darüber, was als gültiges akademisches Wissen gilt.</t>
  </si>
  <si>
    <t>O2, O4, O5</t>
  </si>
  <si>
    <t>Names bias as a systematic property of AI systems and identifies its sources.</t>
  </si>
  <si>
    <t>Explains bias effects for specific groups in own teaching and assessment settings.</t>
  </si>
  <si>
    <t>Analyses structural power and epistemic concentration in the academic AI ecosystem and its consequences for the discipline.</t>
  </si>
  <si>
    <t>Reviews own materials and tools for discriminatory effects.</t>
  </si>
  <si>
    <t>Enables students to analyse bias in AI outputs relevant to their discipline.</t>
  </si>
  <si>
    <t>OECD-E6 · LM-16 · UN-2.1 · DCE-6.1 · UN-1.3</t>
  </si>
  <si>
    <t>OECD-E6 retained. The extension to platform concentration and epistemic authority responds to criterion B7, which records these as untreated in the reviewed frameworks; it is covered by defined material in UNESCO 1.3 (Social Responsibility) rather than newly defined here.</t>
  </si>
  <si>
    <t>KK-B7, KK-B5</t>
  </si>
  <si>
    <t>Analysieren, wie gut KI-Nutzung mit ethischen Prinzipien und menschlichen Werten übereinstimmt</t>
  </si>
  <si>
    <t>The capacity to assess a concrete instance of AI use against explicit ethical principles — do no harm, proportionality, non-discrimination, sustainability, human determination and transparency — and to justify the resulting judgement in academic and institutional settings. This competence is the discrete anchor of the framework's ethics layer, which is otherwise carried across all domains.</t>
  </si>
  <si>
    <t>Die Fähigkeit, einen konkreten Anwendungsfall von KI an expliziten ethischen Prinzipien zu prüfen — Schadensvermeidung, Verhältnismäßigkeit, Nichtdiskriminierung, Nachhaltigkeit, menschliche Letztbestimmung und Transparenz — und das resultierende Urteil im akademischen und institutionellen Kontext zu begründen. Ethik wird im Rahmen grundsätzlich quer durch alle Domänen getragen; diese Kompetenz ist die eine Stelle, an der sie eigenständig und damit kodierbar verankert ist.</t>
  </si>
  <si>
    <t>Knows the core ethical principles and can apply them to a given case of AI use in teaching, research or administration.</t>
  </si>
  <si>
    <t>Conducts structured ethical appraisals of AI use in own teaching and research and documents them.</t>
  </si>
  <si>
    <t>Contributes to the co-creation of ethical guidelines at institutional or disciplinary level.</t>
  </si>
  <si>
    <t>Makes own ethical decisions on AI use explicit and justifiable.</t>
  </si>
  <si>
    <t>Practises ethical appraisal of AI cases together with students in a disciplinary context.</t>
  </si>
  <si>
    <t>OECD-E7 · UN-2.1 · UN-1.1 · DC-2.3 · KMK24-§2.2</t>
  </si>
  <si>
    <t>OECD-E7 retained; the six principles are taken verbatim from UNESCO 2.1 (Ethical Principles). This implements the hybrid ethics decision recorded in the criteria catalogue (B5): ethics cross-cutting across all domains and additionally anchored in one discrete, taggable unit.</t>
  </si>
  <si>
    <t>KK-B5</t>
  </si>
  <si>
    <t>Create with AI</t>
  </si>
  <si>
    <t>KI nutzen, um Perspektiven auf eigene akademische Ideen zu erweitern</t>
  </si>
  <si>
    <t>The capacity to employ generative AI systems as an instrument of idea generation in the early phase of academic work — research ideation, course conception, argument development — in such a way that the resulting perspectives extend an idea that originated with the human author rather than replacing it. Authorship of the intellectual direction remains with the academic.</t>
  </si>
  <si>
    <t>Die Fähigkeit, generative KI-Systeme in der frühen Phase wissenschaftlicher Arbeit als Instrument der Ideengenerierung einzusetzen — bei Forschungsideen, Lehrkonzeption, Argumententwicklung — und zwar so, dass die entstehenden Perspektiven eine ursprünglich menschliche Idee erweitern statt sie zu ersetzen. Die inhaltliche und konzeptionelle Verantwortung verbleibt bei der lehrenden Person.</t>
  </si>
  <si>
    <t>O2, O3, O5</t>
  </si>
  <si>
    <t>Can use AI in a reasoned way to generate ideas and compile resources for a defined task.</t>
  </si>
  <si>
    <t>Can use AI iteratively to sharpen and test own conceptions.</t>
  </si>
  <si>
    <t>Can use AI systematically to generate counter-positions on theoretical and epistemological tensions in the discipline.</t>
  </si>
  <si>
    <t>Generates research and teaching ideas with AI while retaining conceptual authorship.</t>
  </si>
  <si>
    <t>Enables students to use AI to explore topics without surrendering their own line of argument.</t>
  </si>
  <si>
    <t>OECD-C1 · DCE-2.2 · UN-5.1 · Sun-B(Basic) · Sun-E(Advanced)</t>
  </si>
  <si>
    <t>OECD-C1 retained. The Advanced descriptor is consistent with Sun et al. (2026, Appendix E), where GenAI is used to generate counter-positions on epistemological tensions; the Foundation descriptor follows Sun et al. (Appendix B, Basic tier).</t>
  </si>
  <si>
    <t>KK-B2, KK-B8</t>
  </si>
  <si>
    <t>Ideen mit unterschiedlichen KI-Systemtypen visualisieren, prototypisch umsetzen und kombinieren</t>
  </si>
  <si>
    <t>The capacity to move from a concept to a workable artefact using AI systems of different types — text, image, code, data — and to combine their outputs into teaching materials, simulations, research figures or interactive learning objects. The competence includes recognising which system type suits which representational purpose.</t>
  </si>
  <si>
    <t>Die Fähigkeit, mithilfe unterschiedlicher KI-Systemtypen — Text, Bild, Code, Daten — von einem Konzept zu einem nutzbaren Artefakt zu gelangen und deren Ausgaben zu Lehrmaterialien, Simulationen, Forschungsabbildungen oder interaktiven Lernobjekten zu verbinden. Zur Kompetenz gehört zu erkennen, welcher Systemtyp welchem Darstellungszweck entspricht.</t>
  </si>
  <si>
    <t>O2, O3, O4</t>
  </si>
  <si>
    <t>Creates simple materials such as examples, quizzes or graphics with AI support.</t>
  </si>
  <si>
    <t>Combines several AI system types into coherent teaching or research artefacts.</t>
  </si>
  <si>
    <t>Prototypes complex, discipline-specific learning environments and simulations with AI.</t>
  </si>
  <si>
    <t>Prototypes own teaching artefacts with AI and evaluates them for disciplinary accuracy.</t>
  </si>
  <si>
    <t>Enables students to produce and present their own artefacts with AI support.</t>
  </si>
  <si>
    <t>OECD-C2 · DCE-2.2 · ICT-A4.L3 · Sun-C(Basic)</t>
  </si>
  <si>
    <t>OECD-C2 retained; supported by DigCompEdu 2.2 and ICT-CFT A4.L3 (creating innovative digital learning resources). The teaching-artefact contextualisation follows Sun et al. (2026, Appendix C, Basic tier).</t>
  </si>
  <si>
    <t>KK-B2, KK-B9</t>
  </si>
  <si>
    <t>Generative KI-Systeme steuern und iterieren (Prompting als dokumentierte Praxis)</t>
  </si>
  <si>
    <t>The capacity to steer a generative system towards a useful output through deliberate formulation, iterative refinement and supplementation, and to document that process so that it becomes reconstructable and teachable. Prompting is treated here not as a tool trick but as an academic working technique with a progression from clear single instructions to sustained, multi-step dialogic use of the system.</t>
  </si>
  <si>
    <t>Die Fähigkeit, ein generatives System durch bewusste Formulierung, iterative Verfeinerung und Ergänzung auf ein nützliches Ergebnis hin zu steuern und diesen Prozess so zu dokumentieren, dass er rekonstruierbar und lehrbar wird. Prompting gilt hier nicht als Werkzeugkniff, sondern als akademische Arbeitstechnik mit einer Progression von klaren Einzelanweisungen bis zur mehrschrittigen, dialogischen Nutzung des Systems.</t>
  </si>
  <si>
    <t>Writes clear, concise prompts and recognises when an output does not match the intent.</t>
  </si>
  <si>
    <t>Refines prompts iteratively and supplements outputs with additional sources to improve accuracy.</t>
  </si>
  <si>
    <t>Designs and shares reproducible workflows that integrate generative AI in sustained dialogic use.</t>
  </si>
  <si>
    <t>Documents own prompting practice so that it is reconstructable and citable.</t>
  </si>
  <si>
    <t>Guides students into iterative dialogue with generative AI, including follow-up questioning and error checking.</t>
  </si>
  <si>
    <t>OECD-C3 · UN-3.2 · DCE-3.4 · Sun-A(Basic/Intermediate/Advanced)</t>
  </si>
  <si>
    <t>OECD-C3 retained and given an explicit prompting reading. All three level descriptors follow the wording of Sun et al. (2026, Appendix A): clear, concise prompt-writing at Basic; prompt adjustment and supplementation at Intermediate; sustained dialogic use of GenAI workflows at Advanced. This closes the gap in criterion B8 that prompting has no unambiguous home in the source frameworks.</t>
  </si>
  <si>
    <t>KK-B8, KK-B2</t>
  </si>
  <si>
    <t>Analysieren, wie KI Authentizität, Autorschaft und geistiges Eigentum sichert oder verletzt</t>
  </si>
  <si>
    <t>The capacity to determine what constitutes legitimate authorship in AI-assisted academic work, to declare AI use transparently in accordance with institutional and publisher requirements, and to assess copyright and licensing implications for both teaching materials and research outputs. In higher education this competence is the point at which AI literacy and academic integrity meet.</t>
  </si>
  <si>
    <t>Die Fähigkeit, zu bestimmen, was in KI-gestützter wissenschaftlicher Arbeit legitime Autorschaft ausmacht, KI-Nutzung entsprechend institutioneller und verlagsseitiger Vorgaben transparent auszuweisen und urheber- sowie lizenzrechtliche Implikationen für Lehrmaterialien wie Forschungsergebnisse zu beurteilen. Im Hochschulkontext ist dies der Punkt, an dem KI-Kompetenz und wissenschaftliche Integrität zusammentreffen.</t>
  </si>
  <si>
    <t>O1, O4, O5</t>
  </si>
  <si>
    <t>Knows and applies the institution's disclosure rules for AI use in own work.</t>
  </si>
  <si>
    <t>Assesses copyright, licensing and authenticity questions in concrete teaching and publication cases.</t>
  </si>
  <si>
    <t>Shapes institutional or disciplinary rules on authorship and disclosure of AI use.</t>
  </si>
  <si>
    <t>Declares own AI use in teaching materials and publications transparently.</t>
  </si>
  <si>
    <t>Makes authorship and attribution an examinable and reflectable part of student work.</t>
  </si>
  <si>
    <t>OECD-C4 · DCE-2.3 · DC-3.3 · UN-2.2 · DCE-6.4</t>
  </si>
  <si>
    <t>OECD-C4 retained; extended in HE context by DigComp 2.2 DC-3.3 (copyright and licences), DigCompEdu 2.3 and UNESCO 2.2 (Safe and Responsible Use). Academic-integrity framing per Adamakis &amp; Rachiotis (2025) and Rojo et al. (2025).</t>
  </si>
  <si>
    <t>KK-B5, KK-B6</t>
  </si>
  <si>
    <t>Manage AI</t>
  </si>
  <si>
    <t>Über den KI-Einsatz nach Art der akademischen Aufgabe entscheiden, einschließlich begründeter Nicht-Nutzung</t>
  </si>
  <si>
    <t>The capacity to make an evidence-informed decision for or against the use of AI for a given academic task, on the basis of the learning objective, the disciplinary logic and the consequences of the decision. Reasoned non-use is an equal-standing outcome of this competence: deciding that a task must be carried out without AI because the cognitive work is itself the learning objective is a competent decision, not an absence of competence.</t>
  </si>
  <si>
    <t>Die Fähigkeit, eine evidenzinformierte Entscheidung für oder gegen den KI-Einsatz bei einer gegebenen akademischen Aufgabe zu treffen, ausgehend vom Lernziel, der fachlichen Logik und den Folgen der Entscheidung. Die begründete Nicht-Nutzung ist ein gleichrangiges Ergebnis dieser Kompetenz: zu entscheiden, dass eine Aufgabe ohne KI zu bearbeiten ist, weil die kognitive Arbeit selbst das Lernziel darstellt, ist eine kompetente Entscheidung und kein Kompetenzmangel.</t>
  </si>
  <si>
    <t>O1, O2, O3, O4</t>
  </si>
  <si>
    <t>Distinguishes tasks suitable for AI support from those where AI would undermine the learning objective.</t>
  </si>
  <si>
    <t>Justifies use and non-use decisions on evidence and documents them in course design.</t>
  </si>
  <si>
    <t>Develops decision heuristics for the discipline and disseminates them to colleagues.</t>
  </si>
  <si>
    <t>Decides for each teaching and research task whether AI is appropriate at all.</t>
  </si>
  <si>
    <t>Enables students to justify their own use and non-use decisions.</t>
  </si>
  <si>
    <t>OECD-M1 · UN-4.1 · DCE-3.1 · KMK24-§2.4</t>
  </si>
  <si>
    <t>OECD-M1 retained. The explicit prominence of reasoned non-use responds to criterion B2 and follows KMK (2024) §2.4, which requires evidence-based decisions both for and against AI use, and UNESCO 4.1 (human-centred instructional design deciding when and whether to use AI).</t>
  </si>
  <si>
    <t>KK-B2</t>
  </si>
  <si>
    <t>Einen angemessenen KI-Ansatz durch Vergleich der Funktionsweise verschiedener Systeme wählen</t>
  </si>
  <si>
    <t>The capacity to select between AI systems on the basis of how they work rather than how they are marketed — comparing model type, data handling, transparency, accessibility and institutional compliance — and to curate a defensible set of validated tools for one's own teaching and for recommendation to students.</t>
  </si>
  <si>
    <t>Die Fähigkeit, zwischen KI-Systemen auf Grundlage ihrer Funktionsweise statt ihrer Vermarktung zu wählen — im Vergleich von Modelltyp, Datenverarbeitung, Transparenz, Barrierefreiheit und institutioneller Compliance — und ein begründbares Set geprüfter Werkzeuge für die eigene Lehre und für die Empfehlung an Studierende zu kuratieren.</t>
  </si>
  <si>
    <t>O1, O2, O5</t>
  </si>
  <si>
    <t>Distinguishes the main categories of AI systems and selects an appropriate tool for a defined purpose.</t>
  </si>
  <si>
    <t>Applies structured selection criteria including data protection, accessibility and pedagogical fit.</t>
  </si>
  <si>
    <t>Builds and maintains an institutional repository of validated AI tools and advises colleagues on it.</t>
  </si>
  <si>
    <t>Curates a validated, compliant tool set for own teaching.</t>
  </si>
  <si>
    <t>Makes tool choice transparent to students and teaches the underlying criteria.</t>
  </si>
  <si>
    <t>OECD-M2 · UN-3.1 · UN-3.3 · DCE-2.1</t>
  </si>
  <si>
    <t>OECD-M2 retained; tool curation supported by UNESCO 3.1 (curating a personal collection of trustable, locally appropriate AI tools) and 3.3 (institutional repositories of vetted AI tools), and by DigCompEdu 2.1 (selecting digital resources).</t>
  </si>
  <si>
    <t>KK-B2, KK-B1</t>
  </si>
  <si>
    <t>Aufgaben zerlegen, um zu bestimmen, wo KI automatisieren und wo sie nur augmentieren soll</t>
  </si>
  <si>
    <t>The capacity to break an academic task into its constituent steps and to allocate each step deliberately either to automation or to augmentation of human work, with the explicit goal of preserving the cognitive activity through which professional and disciplinary expertise is built and maintained. This competence is where the framework's rule that core cognitive work is not handed over to AI (protection against deskilling) is anchored.</t>
  </si>
  <si>
    <t>Die Fähigkeit, eine akademische Aufgabe in ihre Teilschritte zu zerlegen und jeden Schritt bewusst entweder der Automatisierung oder der Augmentation menschlicher Arbeit zuzuordnen, mit dem ausdrücklichen Ziel, jene kognitive Tätigkeit zu erhalten, durch die professionelle und fachliche Expertise aufgebaut und bewahrt wird. In dieser Kompetenz ist die Grundregel des Rahmens verankert, dass kognitive Kernarbeit nicht an KI abgegeben wird (Deskilling-Schutz).</t>
  </si>
  <si>
    <t>Distinguishes automation from augmentation and recognises signs of over-reliance in own practice.</t>
  </si>
  <si>
    <t>Designs teaching and research workflows so that core cognitive work remains with the human.</t>
  </si>
  <si>
    <t>Designs professional development structures that explicitly address deskilling risks at institutional level.</t>
  </si>
  <si>
    <t>Keeps the cognitive core of own teaching and research work undelegated.</t>
  </si>
  <si>
    <t>Designs tasks so that students' own cognitive work remains visible and is not displaced by AI.</t>
  </si>
  <si>
    <t>OECD-M3 · DC-5.2 · UN-4.2 · OECD-2026a · Sun-§5.1</t>
  </si>
  <si>
    <t>OECD-M3 retained. The deskilling framing draws on OECD (2026a), which distinguishes replacement, complementarity and augmentation modes, on the DACT Area 6 discussion of deprofessionalization, and on Sun et al. (2026, §5.1) on over-reliance and cognitive autonomy. Addresses criterion B3 in its practice-critique reading.</t>
  </si>
  <si>
    <t>KK-B3, KK-B2</t>
  </si>
  <si>
    <t>KI-Einsatz über den gesamten Verlauf eines akademischen Arbeitsprozesses überwachen und bewerten</t>
  </si>
  <si>
    <t>The capacity to keep an AI-supported process under continuous human observation rather than checking only its final output — detecting drift, anomalies and unexpected behaviour, resisting automation bias, and intervening, overriding or halting the process where necessary. In higher education this operationalises the human oversight duty under Art. 14 of the EU AI Act.</t>
  </si>
  <si>
    <t>Die Fähigkeit, einen KI-gestützten Prozess unter fortlaufender menschlicher Beobachtung zu halten, statt nur das Endergebnis zu prüfen — Abweichungen, Anomalien und unerwartetes Verhalten zu erkennen, dem Automatisierungsbias zu widerstehen sowie einzugreifen, zu übersteuern oder den Prozess zu stoppen, wo erforderlich. Im Hochschulkontext operationalisiert dies die Pflicht zur menschlichen Aufsicht nach Art. 14 EU AI Act.</t>
  </si>
  <si>
    <t>O1, O3, O4, O5</t>
  </si>
  <si>
    <t>Monitors AI-supported processes at defined checkpoints and recognises automation bias in oneself.</t>
  </si>
  <si>
    <t>Implements human-accountable decision loops with documented intervention points.</t>
  </si>
  <si>
    <t>Designs and audits institutional oversight structures for AI systems in use.</t>
  </si>
  <si>
    <t>Maintains oversight of AI-supported processes in own teaching, research and administration.</t>
  </si>
  <si>
    <t>Enables students to monitor and evaluate their own AI use throughout a problem-solving process.</t>
  </si>
  <si>
    <t>OECD-M4 · UN-1.2 · DCE-4.2 · ICT-A5.L2</t>
  </si>
  <si>
    <t>OECD-M4 retained; anchored in UNESCO 1.2 (Human Accountability, explicitly framed there as a legal obligation) and bounded by EU AI Act Art. 14, which is a constraint on this competence rather than a competence in its own right.</t>
  </si>
  <si>
    <t>KK-B3, KK-B6</t>
  </si>
  <si>
    <t>Shape AI</t>
  </si>
  <si>
    <t>Untersuchen, wie ein KI-System funktionieren soll, für wen es entworfen ist und wo seine Grenzen liegen</t>
  </si>
  <si>
    <t>The capacity to conduct a due-diligence investigation of an AI system before it is used in teaching, research or administration — examining its stated purpose, its intended user group, its training and evaluation basis, its documented limitations and the fit between its design assumptions and the institution's student body.</t>
  </si>
  <si>
    <t>Die Fähigkeit, ein KI-System vor dem Einsatz in Lehre, Forschung oder Verwaltung einer Due-Diligence-Prüfung zu unterziehen — hinsichtlich des ausgewiesenen Zwecks, der vorgesehenen Nutzendengruppe, der Trainings- und Evaluationsgrundlage, der dokumentierten Grenzen sowie der Passung zwischen den zugrunde liegenden Gestaltungsannahmen und der Studierendenschaft der Institution.</t>
  </si>
  <si>
    <t>Reads and understands the documentation, terms of use and stated limitations of a system.</t>
  </si>
  <si>
    <t>Conducts a structured due-diligence review before deploying a system in teaching.</t>
  </si>
  <si>
    <t>Leads or contributes to institutional review procedures, including input to fundamental rights impact assessments.</t>
  </si>
  <si>
    <t>Reviews systems before adoption rather than after problems arise.</t>
  </si>
  <si>
    <t>Enables students to investigate the design assumptions of the AI systems they use.</t>
  </si>
  <si>
    <t>OECD-S1 · LM-5 · LM-10 · UN-3.2</t>
  </si>
  <si>
    <t>OECD-S1 retained; supported by UNESCO 3.2 (critically assessing ethics by design) and Long &amp; Magerko LM-5/LM-10. Art. 27 (FRIA) applies as a legal duty for public bodies and bounds the Advanced level.</t>
  </si>
  <si>
    <t>KK-B1, KK-B9</t>
  </si>
  <si>
    <t>KI-Systeme anhand definierter Zielgrößen, Testfälle und Nutzendenrückmeldungen evaluieren</t>
  </si>
  <si>
    <t>The capacity to design and carry out an empirical evaluation of an AI system in its actual context of use — defining what a good outcome would be, constructing test cases including edge cases for disadvantaged groups, gathering user feedback from students and staff, and drawing a defensible conclusion about continued use.</t>
  </si>
  <si>
    <t>Die Fähigkeit, eine empirische Evaluation eines KI-Systems in seinem tatsächlichen Einsatzkontext zu konzipieren und durchzuführen — mit Definition eines guten Ergebnisses, Konstruktion von Testfällen einschließlich Grenzfällen für benachteiligte Gruppen, Erhebung von Rückmeldungen Studierender und Beschäftigter sowie einer begründbaren Entscheidung über die Weiternutzung.</t>
  </si>
  <si>
    <t>O3, O4, O5</t>
  </si>
  <si>
    <t>Systematically tests a system against own cases before regular use.</t>
  </si>
  <si>
    <t>Designs pilot evaluations with defined criteria and collects structured user feedback.</t>
  </si>
  <si>
    <t>Leads institutional evaluation and audit processes, including learning analytics audits.</t>
  </si>
  <si>
    <t>Bases decisions about AI in own teaching on empirical evaluation rather than impression.</t>
  </si>
  <si>
    <t>Involves students as evaluators of the AI systems used in their courses.</t>
  </si>
  <si>
    <t>OECD-S2 · UN-3.3 · ICT-A1.L3 · DCE-1.3</t>
  </si>
  <si>
    <t>OECD-S2 retained; UNESCO 3.3 supplies the defined competence of setting and applying testing criteria for adapted AI tools; ICT-CFT A1.L3 supplies the evaluative-policy dimension.</t>
  </si>
  <si>
    <t>KK-B9, KK-B3</t>
  </si>
  <si>
    <t>KI-Einsatz mit Blick auf Datenquellen, Datenauswahl und Informationsflüsse gestalten</t>
  </si>
  <si>
    <t>The capacity to treat data as an object of design and analysis rather than merely as an input — understanding where the data underlying a system comes from, how selection shapes its behaviour, what flows out of the institution during use, and how these choices can be adjusted when configuring, assembling or fine-tuning a system for local academic needs.</t>
  </si>
  <si>
    <t>Die Fähigkeit, Daten als Gestaltungs- und Analysegegenstand und nicht bloß als Eingabe zu behandeln — zu verstehen, woher die einem System zugrundeliegenden Daten stammen, wie Auswahl sein Verhalten prägt, welche Daten während der Nutzung die Institution verlassen und wie diese Entscheidungen bei Konfiguration, Zusammenstellung oder Feinabstimmung eines Systems für lokale akademische Bedarfe angepasst werden können.</t>
  </si>
  <si>
    <t>Knows which data a system is trained on and which data leaves the institution during use.</t>
  </si>
  <si>
    <t>Analyses data quality and selection effects and adjusts configurations accordingly.</t>
  </si>
  <si>
    <t>Assembles or fine-tunes systems with deliberate control over data sources and information flows.</t>
  </si>
  <si>
    <t>Treats data provenance and flow as a design decision in own AI use.</t>
  </si>
  <si>
    <t>Enables students to analyse data as an object in its own right, not only as system input.</t>
  </si>
  <si>
    <t>OECD-S3 · UN-3.3 · DC-3.4 · DC-1.3 · UN-2.2</t>
  </si>
  <si>
    <t>OECD-S3 retained. The emphasis on data as an object of analysis responds to criterion B4, which records this as the weakest data facet of the AILit framework; the supporting defined competences are UNESCO 3.3 and DigComp 2.2 DC-1.3 and DC-3.4.</t>
  </si>
  <si>
    <t>KK-B4, KK-B9</t>
  </si>
  <si>
    <t>KI-Nutzung und KI-Systeme auf Wohlergehen und gesellschaftlichen Nutzen hin verbessern</t>
  </si>
  <si>
    <t>The capacity to move from critique to intervention: proposing and implementing improvements to the AI systems and AI practices of the institution so that they serve student well-being, equity of access and the public mission of the university — including participation in multi-stakeholder negotiation and in the escalation of identified risks to providers or regulators.</t>
  </si>
  <si>
    <t>Die Fähigkeit, von der Kritik zur Intervention überzugehen: Verbesserungen an den KI-Systemen und KI-Praktiken der Institution vorzuschlagen und umzusetzen, sodass diese dem Wohlergehen Studierender, der Zugangsgerechtigkeit und dem öffentlichen Auftrag der Hochschule dienen — einschließlich der Mitwirkung an Multi-Stakeholder-Aushandlungsprozessen und der Eskalation erkannter Risiken an Anbieter oder Regulierungsbehörden.</t>
  </si>
  <si>
    <t>O3, O5</t>
  </si>
  <si>
    <t>Reports identified problems with AI systems through the appropriate institutional channel.</t>
  </si>
  <si>
    <t>Develops and pilots concrete improvement proposals for AI use in own field of responsibility.</t>
  </si>
  <si>
    <t>Participates in multi-stakeholder negotiation on AI in education and escalates risks to providers and regulators.</t>
  </si>
  <si>
    <t>Takes responsibility for improving, not only criticising, the AI practices encountered.</t>
  </si>
  <si>
    <t>Enables students to develop improvement proposals for AI systems that affect them.</t>
  </si>
  <si>
    <t>OECD-S4 · UN-1.3 · UN-2.3 · ICT-A1.L3</t>
  </si>
  <si>
    <t>OECD-S4 retained. The sociotechnical participation reading responds to criterion B9, which records this as weakly developed in AILit; the defined donor competences are UNESCO 1.3 (Social Responsibility) and 2.3 (Co-creating Ethical Rules), which include auditing provider guidance and escalating gaps to regulators.</t>
  </si>
  <si>
    <t>KK-B9, KK-B7</t>
  </si>
  <si>
    <t>Stratum X — Professional obligations outside the AILit object scope</t>
  </si>
  <si>
    <t>Den Rechtsrahmen für KI in der Hochschule anwenden</t>
  </si>
  <si>
    <t>The capacity to identify which legal obligations apply to a concrete instance of AI use in an institution — the AI literacy duty, the prohibitions, the classification of a system as high-risk, the human oversight and deployer duties, and data protection law — and to act accordingly, including escalating cases that require institutional or legal review.</t>
  </si>
  <si>
    <t>Die Fähigkeit, zu bestimmen, welche rechtlichen Pflichten für einen konkreten Anwendungsfall von KI in der Institution gelten — die KI-Kompetenzpflicht, die Verbote, die Einstufung eines Systems als Hochrisiko, die Pflichten zu menschlicher Aufsicht und die Betreiberpflichten sowie das Datenschutzrecht — und entsprechend zu handeln, einschließlich der Eskalation von Fällen, die eine institutionelle oder juristische Prüfung erfordern.</t>
  </si>
  <si>
    <t>O1, O2, O3, O4, O5</t>
  </si>
  <si>
    <t>Knows the obligations relevant to own practice (Arts. 4, 5, 14; GDPR) and the institution's rules.</t>
  </si>
  <si>
    <t>Assesses concrete use cases for high-risk classification and compliance and documents the assessment.</t>
  </si>
  <si>
    <t>Contributes to institutional compliance procedures, including fundamental rights impact assessments (Art. 27).</t>
  </si>
  <si>
    <t>Ensures that own AI use is legally compliant and documented.</t>
  </si>
  <si>
    <t>Communicates compliant usage rules and attribution requirements to students.</t>
  </si>
  <si>
    <t>KMK24-§2.3 · UN-2.2 · UN-1.2 · EU-AI-Act · GDPR</t>
  </si>
  <si>
    <t>Donor competences: KMK (2024) §2.3 (legal and data-protection literacy), UNESCO 2.2 (applying data protection regulations across the data lifecycle) and 1.2 (applying regulatory frameworks to evaluate AI tools). Answers criterion B6, which records that no reviewed framework has a discrete legal area.</t>
  </si>
  <si>
    <t>KK-B6, KK-B5</t>
  </si>
  <si>
    <t>Wissenschaftliches Arbeiten mit KI praktizieren</t>
  </si>
  <si>
    <t>The capacity to integrate AI into the research process — literature search and screening, data analysis, drafting and revision — in ways that preserve methodological rigour, source verifiability and reproducibility, and to teach that practice to students in research-methods and thesis contexts.</t>
  </si>
  <si>
    <t>Die Fähigkeit, KI in den Forschungsprozess zu integrieren — Literaturrecherche und -sichtung, Datenanalyse, Entwurf und Überarbeitung —, und zwar so, dass methodische Strenge, Quellenprüfbarkeit und Reproduzierbarkeit gewahrt bleiben, und diese Praxis Studierenden in Forschungsmethoden- und Abschlussarbeitskontexten zu vermitteln.</t>
  </si>
  <si>
    <t>Uses AI for literature search and text revision and verifies every reference against the source.</t>
  </si>
  <si>
    <t>Integrates AI into defined steps of a research design and documents its use reproducibly.</t>
  </si>
  <si>
    <t>Develops and disseminates methodological standards for AI-supported research in the discipline.</t>
  </si>
  <si>
    <t>Uses AI in own research without compromising verifiability or reproducibility.</t>
  </si>
  <si>
    <t>Teaches students to develop, test and document a research design in dialogue with AI.</t>
  </si>
  <si>
    <t>Sun-E · UN-3.2 · DC-1.1 · DC-1.2 · DCE-1.3</t>
  </si>
  <si>
    <t>Primary donor: Sun et al. (2026), Appendix E — the worked Research Methods example, in which AI is used for research-question generation, methodological comparison, ethics-board rehearsal, design stress-testing and a documented Collaborative Research Design Journey. Supported by UNESCO 3.2 and DigComp 2.2 DC-1.1/1.2. Answers criterion A4.</t>
  </si>
  <si>
    <t>KK-A4, KK-B4, KK-B2</t>
  </si>
  <si>
    <t>Sich mit KI professionell und kollaborativ weiterentwickeln</t>
  </si>
  <si>
    <t>The capacity to sustain one's own professional development in a field that changes faster than formal curricula — identifying own learning needs, using AI to support that learning, and contributing to and learning from professional communities in which AI-related teaching experience is shared. Under the double-decker principle, the teacher's own learning about AI is itself made visible as a teaching object.</t>
  </si>
  <si>
    <t>Die Fähigkeit, die eigene professionelle Entwicklung in einem Feld aufrechtzuerhalten, das sich schneller wandelt als formale Curricula — eigene Lernbedarfe zu erkennen, KI zur Unterstützung dieses Lernens zu nutzen und in professionellen Gemeinschaften mitzuwirken, in denen KI-bezogene Lehrerfahrung geteilt wird. Nach dem Double-Decker-Prinzip wird das eigene Lernen über KI selbst als Lehrgegenstand sichtbar gemacht.</t>
  </si>
  <si>
    <t>Identifies own learning needs regarding AI and uses AI-supported resources to address them.</t>
  </si>
  <si>
    <t>Shares AI teaching experience in professional communities and co-develops materials with colleagues.</t>
  </si>
  <si>
    <t>Designs and leads AI-related professional development programmes and mentors colleagues.</t>
  </si>
  <si>
    <t>Treats own AI competence as something to be maintained rather than acquired once.</t>
  </si>
  <si>
    <t>Makes own learning process about AI visible to students as a model of lifelong learning.</t>
  </si>
  <si>
    <t>UN-5.1 · UN-5.2 · UN-5.3 · DCE-1.1 · DCE-1.2 · DCE-1.4 · ICT-A6 · Sun-A(Advanced)</t>
  </si>
  <si>
    <t>Donor competences: UNESCO 5.1–5.3 (AI for personal, collaborative and leadership-level CPD), DigCompEdu 1.1/1.2/1.4 and ICT-CFT A6. Sun et al. (2026, Appendix A, Advanced) supplies the sharing of insights on AI–human collaboration in professional learning communities; the double-decker principle is from KMK (2021) §1.4 via DACT Area 6.</t>
  </si>
  <si>
    <t>KK-B10</t>
  </si>
  <si>
    <t>Tag (ID · Object)</t>
  </si>
  <si>
    <t>Object</t>
  </si>
  <si>
    <t>Object (EN)</t>
  </si>
  <si>
    <t>Widened reading (EN)</t>
  </si>
  <si>
    <t>Widened reading (DE)</t>
  </si>
  <si>
    <t>Sources</t>
  </si>
  <si>
    <t>Absorbs (v0.9)</t>
  </si>
  <si>
    <t>Legal bound</t>
  </si>
  <si>
    <t>HET-E1 · O1</t>
  </si>
  <si>
    <t>O1</t>
  </si>
  <si>
    <t>Own academic practice</t>
  </si>
  <si>
    <t>Recognises AI in the tools of one's own discipline: reference managers, statistical suites, writing assistants, literature discovery.</t>
  </si>
  <si>
    <t>Erkennt KI in den Werkzeugen der eigenen Disziplin: Literaturverwaltung, Statistiksoftware, Schreibassistenz, Literaturrecherche.</t>
  </si>
  <si>
    <t>OECD-E1 · LM-1</t>
  </si>
  <si>
    <t>HET-E1 · O3</t>
  </si>
  <si>
    <t>O3</t>
  </si>
  <si>
    <t>Teaching &amp; facilitation</t>
  </si>
  <si>
    <t>Identifies which AI systems students are already using in the course, whether or not the course prescribes them.</t>
  </si>
  <si>
    <t>Identifiziert, welche KI-Systeme Studierende in der Lehrveranstaltung bereits nutzen, unabhängig davon, ob die Veranstaltung sie vorsieht.</t>
  </si>
  <si>
    <t>OECD-E1 · Sun-C(Basic)</t>
  </si>
  <si>
    <t>HET-E1 · O5</t>
  </si>
  <si>
    <t>O5</t>
  </si>
  <si>
    <t>Institution &amp; scholarship</t>
  </si>
  <si>
    <t>Maps the institution's AI deployment landscape, including systems embedded in the VLE, admissions and student records.</t>
  </si>
  <si>
    <t>Kartiert die KI-Einsatzlandschaft der Institution einschließlich der in LMS, Zulassung und Studierendenverwaltung eingebetteten Systeme.</t>
  </si>
  <si>
    <t>OECD-E1 · ICT-A1.L2 · ICT-A5.L2</t>
  </si>
  <si>
    <t>HET-E2 · O1</t>
  </si>
  <si>
    <t>Describes model behaviour accurately in one's own writing and speech, including hallucination as a structural property.</t>
  </si>
  <si>
    <t>Beschreibt Modellverhalten in eigenem Schreiben und Sprechen präzise, einschließlich Halluzination als struktureller Eigenschaft.</t>
  </si>
  <si>
    <t>OECD-E2 · Sun-A(Basic) · LM-7</t>
  </si>
  <si>
    <t>HET-E2 · O3</t>
  </si>
  <si>
    <t>Models precise, non-anthropomorphic language in lectures and syllabi and corrects anthropomorphic framing when students use it.</t>
  </si>
  <si>
    <t>Modelliert präzise, nicht-anthropomorphe Sprache in Lehre und Modulunterlagen und korrigiert anthropomorphe Deutungen Studierender.</t>
  </si>
  <si>
    <t>OECD-E2 · UN-3.1 · DCE-6.1</t>
  </si>
  <si>
    <t>HET-E2 · O5</t>
  </si>
  <si>
    <t>Sets terminological standards for institutional documents and public communication about AI.</t>
  </si>
  <si>
    <t>Setzt terminologische Standards für institutionelle Dokumente und die Öffentlichkeitsarbeit zu KI.</t>
  </si>
  <si>
    <t>OECD-E2 · ICT-A1.L3</t>
  </si>
  <si>
    <t>HET-E3 · O1</t>
  </si>
  <si>
    <t>Verifies every AI output before it enters own teaching or research; acceptance, revision and rejection are all justifiable outcomes.</t>
  </si>
  <si>
    <t>Prüft jede KI-Ausgabe, bevor sie in eigene Lehre oder Forschung eingeht; Annahme, Überarbeitung und Ablehnung sind gleichermaßen begründbare Ergebnisse.</t>
  </si>
  <si>
    <t>OECD-E3 · Sun-A(Intermediate)</t>
  </si>
  <si>
    <t>HET-E3 · O2</t>
  </si>
  <si>
    <t>O2</t>
  </si>
  <si>
    <t>Curriculum &amp; learning design</t>
  </si>
  <si>
    <t>Quality-assures AI-suggested resources against learning outcomes before they enter a course; reviews AI-generated materials for disciplinary accuracy.</t>
  </si>
  <si>
    <t>Qualitätssichert KI-vorgeschlagene Ressourcen entlang der Lernergebnisse, bevor sie in eine Veranstaltung eingehen; prüft KI-generierte Materialien auf fachliche Korrektheit.</t>
  </si>
  <si>
    <t>OECD-E3 · Sun-B(Basic) · DCE-2.1</t>
  </si>
  <si>
    <t>HET-D1 (v0.9)</t>
  </si>
  <si>
    <t>HET-E3 · O4</t>
  </si>
  <si>
    <t>O4</t>
  </si>
  <si>
    <t>Assessment</t>
  </si>
  <si>
    <t>Reads AI-generated analyses of student performance as evidence with known construct validity and known limits, and refrains from inferences the data does not support.</t>
  </si>
  <si>
    <t>Liest KI-generierte Auswertungen studentischer Leistungen als Evidenz mit bekannter Konstruktvalidität und bekannten Grenzen und unterlässt Schlüsse, die die Daten nicht tragen.</t>
  </si>
  <si>
    <t>OECD-E3 · Sun-D(Intermediate) · DCE-4.2</t>
  </si>
  <si>
    <t>HET-A2 (v0.9)</t>
  </si>
  <si>
    <t>HET-E4 · O2</t>
  </si>
  <si>
    <t>Examines how AI-driven personalisation of materials narrows or widens the range of what students encounter.</t>
  </si>
  <si>
    <t>Untersucht, wie KI-gestützte Personalisierung von Materialien das Spektrum dessen verengt oder erweitert, was Studierenden begegnet.</t>
  </si>
  <si>
    <t>OECD-E4 · Sun-B(Intermediate) · DCE-5.2</t>
  </si>
  <si>
    <t>HET-D2 (v0.9)</t>
  </si>
  <si>
    <t>HET-E4 · O3</t>
  </si>
  <si>
    <t>Reflects on how adaptive scaffolding steers a learning path, and retains the pedagogical decision about what counts as appropriate support.</t>
  </si>
  <si>
    <t>Reflektiert, wie adaptives Scaffolding einen Lernpfad steuert, und behält die didaktische Entscheidung darüber, was angemessene Unterstützung ist.</t>
  </si>
  <si>
    <t>OECD-E4 · Sun-C(Intermediate) · UN-4.2</t>
  </si>
  <si>
    <t>HET-T2 (v0.9)</t>
  </si>
  <si>
    <t>HET-E4 · O4</t>
  </si>
  <si>
    <t>Recognises learning-path steering and outcome prediction as high-risk uses under Annex III §3(b) and treats their recommendations as contestable.</t>
  </si>
  <si>
    <t>Erkennt Lernpfadsteuerung und Ergebnisprognose als Hochrisikonutzung nach Anhang III §3(b) und behandelt deren Empfehlungen als begründungs- und widerspruchsfähig.</t>
  </si>
  <si>
    <t>OECD-E4 · UN-1.1</t>
  </si>
  <si>
    <t>HET-E4 · O5</t>
  </si>
  <si>
    <t>Counteracts narrowing effects of recommendation systems in literature search through deliberate methodological diversification.</t>
  </si>
  <si>
    <t>Wirkt Verengungseffekten von Empfehlungssystemen in der Literaturrecherche durch bewusste methodische Diversifizierung entgegen.</t>
  </si>
  <si>
    <t>OECD-E4 · DC-1.1</t>
  </si>
  <si>
    <t>HET-E5 · O1</t>
  </si>
  <si>
    <t>Weighs resource cost against benefit when choosing tools for one's own work.</t>
  </si>
  <si>
    <t>Wägt Ressourcenkosten gegen den Nutzen bei der Werkzeugwahl für die eigene Arbeit ab.</t>
  </si>
  <si>
    <t>OECD-E5 · DC-4.4</t>
  </si>
  <si>
    <t>HET-E5 · O3</t>
  </si>
  <si>
    <t>Macht die ökologischen Kosten der KI-Nutzung zum Reflexionsgegenstand mit Studierenden.</t>
  </si>
  <si>
    <t>OECD-E5 · UN-2.1</t>
  </si>
  <si>
    <t>HET-E5 · O5</t>
  </si>
  <si>
    <t>Bringt Nachhaltigkeitskriterien in institutionelle KI-Beschaffung und Berichterstattung ein.</t>
  </si>
  <si>
    <t>OECD-E5 · UN-2.1 · ICT-A5.L3</t>
  </si>
  <si>
    <t>HET-E6 · O2</t>
  </si>
  <si>
    <t>Reviews AI-generated materials and personalisation logic for effects that disadvantage particular student groups.</t>
  </si>
  <si>
    <t>Prüft KI-generierte Materialien und Personalisierungslogiken auf Effekte, die bestimmte Studierendengruppen benachteiligen.</t>
  </si>
  <si>
    <t>OECD-E6 · DCE-5.1</t>
  </si>
  <si>
    <t>HET-E6 · O4</t>
  </si>
  <si>
    <t>Explains how bias in assessment support can reproduce existing inequalities in grading and academic recognition.</t>
  </si>
  <si>
    <t>Erklärt, wie Verzerrungen in der Prüfungsunterstützung bestehende Ungleichheiten in Bewertung und akademischer Anerkennung reproduzieren können.</t>
  </si>
  <si>
    <t>OECD-E6 · UN-2.1</t>
  </si>
  <si>
    <t>HET-E6 · O5</t>
  </si>
  <si>
    <t>Analyses platform and corporate concentration in the academic AI ecosystem and the resulting shifts in epistemic authority over valid disciplinary knowledge.</t>
  </si>
  <si>
    <t>Analysiert Plattform- und Unternehmenskonzentration im akademischen KI-Ökosystem und die daraus folgenden Verschiebungen epistemischer Autorität über gültiges fachliches Wissen.</t>
  </si>
  <si>
    <t>OECD-E6 · UN-1.3</t>
  </si>
  <si>
    <t>HET-E7 · O1</t>
  </si>
  <si>
    <t>Makes own ethical decisions on AI use explicit and justifiable against the six principles.</t>
  </si>
  <si>
    <t>Macht eigene ethische Entscheidungen zur KI-Nutzung explizit und an den sechs Prinzipien begründbar.</t>
  </si>
  <si>
    <t>OECD-E7 · UN-2.1</t>
  </si>
  <si>
    <t>HET-E7 · O3</t>
  </si>
  <si>
    <t>Practises ethical appraisal of disciplinary AI cases together with students.</t>
  </si>
  <si>
    <t>Übt die ethische Bewertung fachlicher KI-Fälle gemeinsam mit Studierenden ein.</t>
  </si>
  <si>
    <t>OECD-E7 · DCE-6.4</t>
  </si>
  <si>
    <t>HET-E7 · O5</t>
  </si>
  <si>
    <t>Wirkt an der Ko-Kreation ethischer Leitlinien auf institutioneller oder fachlicher Ebene mit.</t>
  </si>
  <si>
    <t>OECD-E7 · UN-2.3</t>
  </si>
  <si>
    <t>HET-C1 · O2</t>
  </si>
  <si>
    <t>Co-designs interdisciplinary, project-based modules with students and AI, and enables students to co-design personalised learning pathways by selecting themes, resources and pacing.</t>
  </si>
  <si>
    <t>Ko-gestaltet interdisziplinäre, projektbasierte Module mit Studierenden und KI und befähigt Studierende, personalisierte Lernpfade durch Wahl von Themen, Ressourcen und Lerntempo mitzugestalten.</t>
  </si>
  <si>
    <t>OECD-C1 · Sun-B(Advanced) · UN-4.3</t>
  </si>
  <si>
    <t>HET-D3 (v0.9)</t>
  </si>
  <si>
    <t>HET-C1 · O3</t>
  </si>
  <si>
    <t>Designs and moderates learning situations in which AI participates as a third party alongside teacher and students, with AI contributions examined as critically as peer contributions.</t>
  </si>
  <si>
    <t>Gestaltet und moderiert Lernsituationen, in denen KI als dritte Instanz neben Lehrenden und Studierenden beteiligt ist, wobei KI-Beiträge ebenso kritisch geprüft werden wie Peer-Beiträge.</t>
  </si>
  <si>
    <t>OECD-C1 · Sun-C(Advanced) · Sun-§3.1.4 · UN-4.3</t>
  </si>
  <si>
    <t>HET-T3 (v0.9)</t>
  </si>
  <si>
    <t>HET-C1 · O5</t>
  </si>
  <si>
    <t>Can use AI systematically to generate counter-positions on theoretical and epistemological tensions in the discipline while retaining conceptual authorship.</t>
  </si>
  <si>
    <t>Kann KI systematisch zur Erzeugung von Gegenpositionen zu theoretischen und epistemologischen Spannungen der Disziplin einsetzen und wahrt dabei die konzeptionelle Autorschaft.</t>
  </si>
  <si>
    <t>OECD-C1 · Sun-E(Advanced)</t>
  </si>
  <si>
    <t>HET-C2 · O2</t>
  </si>
  <si>
    <t>Generates initial ideas and compiles teaching resources; adapts and personalises materials to prior knowledge, language and ability, refining them iteratively from course feedback.</t>
  </si>
  <si>
    <t>Generiert erste Ideen und stellt Lehrressourcen zusammen; passt Materialien an Vorwissen, Sprache und Fähigkeiten an und verfeinert sie iterativ anhand von Rückmeldungen aus der Lehre.</t>
  </si>
  <si>
    <t>OECD-C2 · Sun-B(Basic) · Sun-B(Intermediate) · DCE-2.2 · DCE-5.2</t>
  </si>
  <si>
    <t>HET-D1, HET-D2 (v0.9)</t>
  </si>
  <si>
    <t>HET-C2 · O3</t>
  </si>
  <si>
    <t>Creates interactive materials, simulations and worked examples with AI for use during teaching.</t>
  </si>
  <si>
    <t>Erstellt interaktive Materialien, Simulationen und Musterlösungen mit KI für den Einsatz in der Lehre.</t>
  </si>
  <si>
    <t>OECD-C2 · Sun-C(Basic) · ICT-A4.L3</t>
  </si>
  <si>
    <t>HET-T1 (v0.9)</t>
  </si>
  <si>
    <t>HET-C2 · O4</t>
  </si>
  <si>
    <t>Generates objective-aligned assessment items and adaptive formative tasks, with constructive alignment remaining a human design decision.</t>
  </si>
  <si>
    <t>Erzeugt lernzielbezogene Prüfungsaufgaben und adaptive formative Aufgaben, wobei das Constructive Alignment eine menschliche Gestaltungsentscheidung bleibt.</t>
  </si>
  <si>
    <t>OECD-C2 · Sun-D(Basic) · DCE-4.1</t>
  </si>
  <si>
    <t>HET-A1 (v0.9)</t>
  </si>
  <si>
    <t>HET-C3 · O1</t>
  </si>
  <si>
    <t>Writes, refines and documents prompts so that the process is reconstructable and citable; designs reproducible workflows built on sustained dialogic use of AI.</t>
  </si>
  <si>
    <t>Formuliert, verfeinert und dokumentiert Prompts so, dass der Prozess rekonstruierbar und zitierfähig ist; entwirft reproduzierbare Workflows auf Basis dialogischer, mehrschrittiger KI-Nutzung.</t>
  </si>
  <si>
    <t>OECD-C3 · Sun-A(Basic/Intermediate/Advanced)</t>
  </si>
  <si>
    <t>HET-C3 · O3</t>
  </si>
  <si>
    <t>Uses generative AI live in teaching to produce examples and explanations on demand, reviewing every output for accuracy before it reaches students.</t>
  </si>
  <si>
    <t>Setzt generative KI in der Lehre live ein, um bedarfsweise Beispiele und Erklärungen zu erzeugen, und prüft jede Ausgabe vor der Weitergabe an Studierende auf Richtigkeit.</t>
  </si>
  <si>
    <t>OECD-C3 · Sun-C(Basic) · UN-4.1</t>
  </si>
  <si>
    <t>HET-C3 · O5</t>
  </si>
  <si>
    <t>Applies prompting as an academic working technique in literature screening, analysis and drafting, and teaches it as such.</t>
  </si>
  <si>
    <t>Wendet Prompting als akademische Arbeitstechnik in Literatursichtung, Analyse und Textentwurf an und vermittelt es als solche.</t>
  </si>
  <si>
    <t>OECD-C3 · UN-3.2 · Sun-E</t>
  </si>
  <si>
    <t>HET-C4 · O1</t>
  </si>
  <si>
    <t>Declares own AI use in teaching materials and publications in accordance with institutional and publisher requirements.</t>
  </si>
  <si>
    <t>Weist die eigene KI-Nutzung in Lehrmaterialien und Publikationen entsprechend institutioneller und verlagsseitiger Vorgaben aus.</t>
  </si>
  <si>
    <t>OECD-C4 · DCE-2.3 · DC-3.3</t>
  </si>
  <si>
    <t>Art. 50; copyright law</t>
  </si>
  <si>
    <t>HET-C4 · O4</t>
  </si>
  <si>
    <t>Defines, communicates and enforces what constitutes honest academic work under AI availability, and handles suspected misconduct procedurally fairly given the unreliability of AI detection.</t>
  </si>
  <si>
    <t>Definiert, kommuniziert und setzt durch, was redliche wissenschaftliche Arbeit unter KI-Verfügbarkeit bedeutet, und behandelt Verdachtsfälle angesichts unzuverlässiger KI-Erkennung verfahrensfair.</t>
  </si>
  <si>
    <t>OECD-C4 · UN-2.2 · DCE-6.4</t>
  </si>
  <si>
    <t>HET-G2 (v0.9)</t>
  </si>
  <si>
    <t>HET-C4 · O5</t>
  </si>
  <si>
    <t>Shapes institutional or disciplinary rules on authorship, attribution and disclosure of AI use.</t>
  </si>
  <si>
    <t>Gestaltet institutionelle oder fachliche Regeln zu Autorschaft, Zuschreibung und Ausweisung von KI-Nutzung mit.</t>
  </si>
  <si>
    <t>OECD-C4 · UN-2.3</t>
  </si>
  <si>
    <t>HET-M1 · O1</t>
  </si>
  <si>
    <t>Decides for each own task whether AI is appropriate at all; reasoned non-use is an equal-standing outcome.</t>
  </si>
  <si>
    <t>Entscheidet für jede eigene Aufgabe, ob KI überhaupt angemessen ist; begründete Nicht-Nutzung ist ein gleichrangiges Ergebnis.</t>
  </si>
  <si>
    <t>OECD-M1 · KMK24-§2.4</t>
  </si>
  <si>
    <t>HET-M1 · O2</t>
  </si>
  <si>
    <t>Decides at design time which parts of a module may involve AI and which must not, because the cognitive work is itself the learning objective.</t>
  </si>
  <si>
    <t>Entscheidet bei der Planung, welche Teile eines Moduls KI einbeziehen dürfen und welche nicht, weil die kognitive Arbeit selbst das Lernziel ist.</t>
  </si>
  <si>
    <t>OECD-M1 · UN-4.1 · DCE-3.1</t>
  </si>
  <si>
    <t>HET-M1 · O3</t>
  </si>
  <si>
    <t>Builds students' capacity to govern their own AI use — deciding when to involve AI, monitoring reliance, sustaining cognitive independence — and makes that self-regulation visible in tasks.</t>
  </si>
  <si>
    <t>Baut die Fähigkeit Studierender auf, die eigene KI-Nutzung zu steuern — wann KI einbezogen wird, Abhängigkeit zu beobachten, kognitive Unabhängigkeit zu wahren — und macht diese Selbstregulation in Aufgaben sichtbar.</t>
  </si>
  <si>
    <t>OECD-M1 · Sun-A(Advanced) · Sun-C(Advanced) · DCE-3.4 · UN-1.1</t>
  </si>
  <si>
    <t>HET-T4 (v0.9)</t>
  </si>
  <si>
    <t>HET-M1 · O4</t>
  </si>
  <si>
    <t>Determines whether AI belongs in a given assessment at all, and documents the decision as part of the assessment design.</t>
  </si>
  <si>
    <t>Bestimmt, ob KI in einer gegebenen Prüfung überhaupt am Platz ist, und dokumentiert die Entscheidung als Teil des Prüfungsdesigns.</t>
  </si>
  <si>
    <t>OECD-M1 · Sun-D(Basic) · KMK24-§2.4</t>
  </si>
  <si>
    <t>HET-M2 · O1</t>
  </si>
  <si>
    <t>Selects between systems on the basis of how they work — model type, data handling, transparency — rather than how they are marketed.</t>
  </si>
  <si>
    <t>Wählt zwischen Systemen auf Grundlage ihrer Funktionsweise — Modelltyp, Datenverarbeitung, Transparenz — statt ihrer Vermarktung.</t>
  </si>
  <si>
    <t>OECD-M2 · UN-3.1 · LM-4</t>
  </si>
  <si>
    <t>HET-M2 · O2</t>
  </si>
  <si>
    <t>Curates a validated, compliant and accessible tool set for a module and makes the selection criteria transparent to students.</t>
  </si>
  <si>
    <t>Kuratiert ein geprüftes, compliance-konformes und barrierefreies Werkzeugset für ein Modul und macht die Auswahlkriterien gegenüber Studierenden transparent.</t>
  </si>
  <si>
    <t>OECD-M2 · DCE-2.1 · DCE-5.1</t>
  </si>
  <si>
    <t>HET-M2 · O5</t>
  </si>
  <si>
    <t>Builds and maintains an institutional repository of vetted AI tools and advises colleagues on selection and procurement.</t>
  </si>
  <si>
    <t>Baut ein institutionelles Repositorium geprüfter KI-Werkzeuge auf, pflegt es und berät Kolleg:innen zu Auswahl und Beschaffung.</t>
  </si>
  <si>
    <t>OECD-M2 · UN-3.3</t>
  </si>
  <si>
    <t>Art. 26</t>
  </si>
  <si>
    <t>HET-M3 · O1</t>
  </si>
  <si>
    <t>Allocates each step of an academic task deliberately to automation or augmentation, keeping the cognitive core through which expertise is maintained undelegated.</t>
  </si>
  <si>
    <t>Ordnet jeden Schritt einer akademischen Aufgabe bewusst der Automatisierung oder der Augmentation zu und hält den kognitiven Kern, über den Expertise erhalten bleibt, undelegiert.</t>
  </si>
  <si>
    <t>OECD-M3 · OECD-2026a · Sun-§5.1</t>
  </si>
  <si>
    <t>HET-M3 · O3</t>
  </si>
  <si>
    <t>Gestaltet Aufgaben so, dass die kognitive Eigenleistung Studierender sichtbar bleibt und nicht durch KI ersetzt wird.</t>
  </si>
  <si>
    <t>OECD-M3 · DCE-3.4</t>
  </si>
  <si>
    <t>HET-M3 · O5</t>
  </si>
  <si>
    <t>Designs professional development structures that explicitly address deskilling and deprofessionalization risks at institutional level.</t>
  </si>
  <si>
    <t>Entwickelt Weiterbildungsstrukturen, die Deskilling- und Deprofessionalisierungsrisiken auf institutioneller Ebene explizit adressieren.</t>
  </si>
  <si>
    <t>OECD-M3 · OECD-2026a · DACT-OPCI-L3</t>
  </si>
  <si>
    <t>HET-M4 · O1</t>
  </si>
  <si>
    <t>Keeps AI-supported processes under continuous observation rather than checking only the final output; resists automation bias.</t>
  </si>
  <si>
    <t>Hält KI-gestützte Prozesse unter fortlaufender Beobachtung, statt nur das Endergebnis zu prüfen, und widersteht dem Automatisierungsbias.</t>
  </si>
  <si>
    <t>OECD-M4 · UN-1.2</t>
  </si>
  <si>
    <t>Art. 14</t>
  </si>
  <si>
    <t>HET-M4 · O3</t>
  </si>
  <si>
    <t>Monitors adaptive scaffolding in-course, adjusts activity complexity in response to student answers, and uses AI-generated insight to adapt instruction.</t>
  </si>
  <si>
    <t>Überwacht adaptives Scaffolding im laufenden Semester, passt die Aufgabenkomplexität an studentische Antworten an und nutzt KI-generierte Erkenntnisse zur Anpassung der Lehre.</t>
  </si>
  <si>
    <t>OECD-M4 · Sun-C(Intermediate) · UN-4.2</t>
  </si>
  <si>
    <t>HET-M4 · O4</t>
  </si>
  <si>
    <t>Structures assessment so that a human holds and can justify every consequential decision about a student, and enables students to run AI-enhanced peer and self-assessment with critical comparison of AI and human feedback.</t>
  </si>
  <si>
    <t>Strukturiert Prüfung so, dass ein Mensch jede folgenreiche Entscheidung über Studierende trägt und begründen kann, und befähigt Studierende zu KI-gestützter Peer- und Selbstbewertung mit kritischem Vergleich von KI- und Menschenfeedback.</t>
  </si>
  <si>
    <t>OECD-M4 · UN-1.2 · UN-4.2 · Sun-D(Advanced)</t>
  </si>
  <si>
    <t>HET-A3, HET-A4 (v0.9)</t>
  </si>
  <si>
    <t>Annex III §3(b)–(c); Arts. 14, 26(11); GDPR Art. 22</t>
  </si>
  <si>
    <t>HET-M4 · O5</t>
  </si>
  <si>
    <t>Designs and audits institutional oversight structures, including appeal procedures for AI-supported decisions.</t>
  </si>
  <si>
    <t>Entwirft und auditiert institutionelle Aufsichtsstrukturen einschließlich Widerspruchsverfahren für KI-gestützte Entscheidungen.</t>
  </si>
  <si>
    <t>OECD-M4 · ICT-A5.L3 · UN-5.3</t>
  </si>
  <si>
    <t>Arts. 26, 27</t>
  </si>
  <si>
    <t>HET-S1 · O2</t>
  </si>
  <si>
    <t>Reads documentation, terms of use and stated limits of a system before it is written into a module design.</t>
  </si>
  <si>
    <t>Liest Dokumentation, Nutzungsbedingungen und ausgewiesene Grenzen eines Systems, bevor es in ein Moduldesign aufgenommen wird.</t>
  </si>
  <si>
    <t>OECD-S1 · LM-5</t>
  </si>
  <si>
    <t>HET-S1 · O4</t>
  </si>
  <si>
    <t>Conducts due diligence on assessment and proctoring systems before deployment, given their high-risk classification.</t>
  </si>
  <si>
    <t>Führt vor dem Einsatz eine Due-Diligence-Prüfung von Prüfungs- und Aufsichtssystemen durch, angesichts deren Hochrisiko-Einstufung.</t>
  </si>
  <si>
    <t>OECD-S1 · UN-3.2</t>
  </si>
  <si>
    <t>Annex III §3(a)–(d); Art. 26</t>
  </si>
  <si>
    <t>HET-S1 · O5</t>
  </si>
  <si>
    <t>Contributes system investigations to institutional review procedures, including input to fundamental rights impact assessments.</t>
  </si>
  <si>
    <t>Bringt Systemuntersuchungen in institutionelle Prüfverfahren ein, einschließlich Zuarbeit zu Grundrechte-Folgenabschätzungen.</t>
  </si>
  <si>
    <t>OECD-S1 · LM-10 · UN-3.2</t>
  </si>
  <si>
    <t>Art. 27 (FRIA)</t>
  </si>
  <si>
    <t>HET-S2 · O3</t>
  </si>
  <si>
    <t>Tests a system against own teaching cases and collects structured student feedback before regular use.</t>
  </si>
  <si>
    <t>Testet ein System an eigenen Lehrfällen und erhebt strukturiertes Feedback Studierender vor der regulären Nutzung.</t>
  </si>
  <si>
    <t>OECD-S2 · UN-3.3 · DCE-1.3</t>
  </si>
  <si>
    <t>HET-S2 · O4</t>
  </si>
  <si>
    <t>Evaluates assessment support for validity and fairness using defined outcomes and edge cases for disadvantaged groups.</t>
  </si>
  <si>
    <t>Evaluiert Prüfungsunterstützung auf Validität und Fairness anhand definierter Zielgrößen und Grenzfälle für benachteiligte Gruppen.</t>
  </si>
  <si>
    <t>OECD-S2 · DCE-4.2</t>
  </si>
  <si>
    <t>HET-S2 · O5</t>
  </si>
  <si>
    <t>Leads institutional evaluation and audit processes, including learning analytics audits, and involves students as evaluators.</t>
  </si>
  <si>
    <t>Leitet institutionelle Evaluations- und Auditprozesse einschließlich Learning-Analytics-Audits und bindet Studierende in die Evaluation ein.</t>
  </si>
  <si>
    <t>OECD-S2 · ICT-A1.L3</t>
  </si>
  <si>
    <t>HET-G5 (v0.9, partly)</t>
  </si>
  <si>
    <t>HET-S3 · O1</t>
  </si>
  <si>
    <t>Weiß, mit welchen Daten ein System trainiert wurde und welche Daten bei der Nutzung die Institution verlassen.</t>
  </si>
  <si>
    <t>OECD-S3 · UN-2.2 · LM-11</t>
  </si>
  <si>
    <t>GDPR Arts. 5, 32</t>
  </si>
  <si>
    <t>HET-S3 · O4</t>
  </si>
  <si>
    <t>Treats the provenance and flow of student performance data as a design decision, not a by-product of tool choice.</t>
  </si>
  <si>
    <t>Behandelt Herkunft und Fluss studentischer Leistungsdaten als Gestaltungsentscheidung und nicht als Nebenprodukt der Werkzeugwahl.</t>
  </si>
  <si>
    <t>OECD-S3 · DC-1.3</t>
  </si>
  <si>
    <t>GDPR Arts. 5, 22</t>
  </si>
  <si>
    <t>HET-S3 · O5</t>
  </si>
  <si>
    <t>Assembles, configures or fine-tunes systems with deliberate control over data sources and information flows for local academic needs.</t>
  </si>
  <si>
    <t>Stellt Systeme zusammen, konfiguriert oder passt sie an, mit bewusster Kontrolle über Datenquellen und Informationsflüsse für lokale wissenschaftliche Bedarfe.</t>
  </si>
  <si>
    <t>OECD-S3 · UN-3.3 · DC-3.4</t>
  </si>
  <si>
    <t>HET-S4 · O3</t>
  </si>
  <si>
    <t>Enables students to develop improvement proposals for the AI systems that affect their learning.</t>
  </si>
  <si>
    <t>Befähigt Studierende, Verbesserungsvorschläge für die ihr Lernen betreffenden KI-Systeme zu entwickeln.</t>
  </si>
  <si>
    <t>OECD-S4 · UN-1.3</t>
  </si>
  <si>
    <t>HET-S4 · O5</t>
  </si>
  <si>
    <t>Contributes to institutional AI policy, procurement, infrastructure and equity of access; participates in multi-stakeholder negotiation and escalates identified risks to providers and regulators.</t>
  </si>
  <si>
    <t>Wirkt an institutioneller KI-Policy, Beschaffung, Infrastruktur und Zugangsgerechtigkeit mit; beteiligt sich an Multi-Stakeholder-Aushandlungsprozessen und eskaliert erkannte Risiken an Anbieter und Regulierungsbehörden.</t>
  </si>
  <si>
    <t>OECD-S4 · UN-1.3 · UN-2.3 · ICT-A1.L3 · Sun-§5.1</t>
  </si>
  <si>
    <t>HET-G5 (v0.9)</t>
  </si>
  <si>
    <t>Stratum X units span objects rather than activating discrete cells; they are obligations, not operations performed on an object. Spans listed below for the coverage grid only.</t>
  </si>
  <si>
    <t>HET-X1 · O1, O2, O3, O4, O5</t>
  </si>
  <si>
    <t>Spans all five objects; densest at O4 (assessment) and O5 (institution).</t>
  </si>
  <si>
    <t>Erstreckt sich über alle fünf Gegenstände; am dichtesten bei O4 (Prüfen) und O5 (Institution).</t>
  </si>
  <si>
    <t>HET-X2 · O3, O4, O5</t>
  </si>
  <si>
    <t>Anchored in O5; reaches O3 and O4 in research-methods teaching and thesis supervision.</t>
  </si>
  <si>
    <t>In O5 verankert; reicht in der Forschungsmethodenlehre und Abschlussarbeitsbetreuung nach O3 und O4.</t>
  </si>
  <si>
    <t>HET-X3 · O1, O3, O5</t>
  </si>
  <si>
    <t>Anchored in O1 and O5; the double-decker principle makes it visible in O3.</t>
  </si>
  <si>
    <t>In O1 und O5 verankert; das Double-Decker-Prinzip macht sie in O3 sichtbar.</t>
  </si>
  <si>
    <t>O1 Own academic practice</t>
  </si>
  <si>
    <t>O2 Curriculum &amp; learning design</t>
  </si>
  <si>
    <t>O3 Teaching &amp; facilitation</t>
  </si>
  <si>
    <t>O4 Assessment</t>
  </si>
  <si>
    <t>O5 Institution &amp; scholarship</t>
  </si>
  <si>
    <t>Objects activated</t>
  </si>
  <si>
    <t>1</t>
  </si>
  <si>
    <t>Core cells activated per object (Stratum X spans excluded)</t>
  </si>
  <si>
    <t>Possible cells (19 core competences × 5 objects)</t>
  </si>
  <si>
    <t>of which activated</t>
  </si>
  <si>
    <t>Legend</t>
  </si>
  <si>
    <t>"1" = activated cell with a written descriptor (see sheet 4). "X" = Stratum X unit spanning the object without a discrete cell. Empty = not activated: either genuine non-applicability (HET-C3 × O4 would be prompting for the production of grades, deliberately not endorsed) or a candidate for later activation.</t>
  </si>
  <si>
    <t>ID</t>
  </si>
  <si>
    <t>Objekt (DE)</t>
  </si>
  <si>
    <t>Scope</t>
  </si>
  <si>
    <t>Source</t>
  </si>
  <si>
    <t>Eigene wissenschaftliche Praxis</t>
  </si>
  <si>
    <t>What the teacher does with AI in their own work as an academic.</t>
  </si>
  <si>
    <t>Sun et al. (2026), "Teacher's own literacy / usage" (Table 6); DigCompEdu 1.3</t>
  </si>
  <si>
    <t>Curriculum- und Lerndesign</t>
  </si>
  <si>
    <t>Planning, curating, adapting and co-designing curricula and materials before teaching.</t>
  </si>
  <si>
    <t>Sun et al. (2026), Dimension 2 — Curriculum/Learning Design (Appendix B); DigCompEdu 2.1–2.2, 5.1–5.2</t>
  </si>
  <si>
    <t>Lehre und Lernbegleitung</t>
  </si>
  <si>
    <t>Enacting instruction, scaffolding, and facilitating teacher–student–AI interaction during teaching.</t>
  </si>
  <si>
    <t>Sun et al. (2026), Dimension 3 — Teaching and Learning (Appendix C, §3.1.4); UNESCO AI-CFT 4.1–4.3; DigCompEdu 3.1–3.4</t>
  </si>
  <si>
    <t>Prüfen und Bewerten</t>
  </si>
  <si>
    <t>Designing, running and interpreting assessment and feedback — the most tightly regulated object.</t>
  </si>
  <si>
    <t>Sun et al. (2026), Dimension 4 — Assessment (Appendix D); DigCompEdu 4.1–4.3; UNESCO AI-CFT 1.2, 4.2; bounded by EU AI Act Annex III §3(b)–(c), Art. 14, GDPR Art. 22</t>
  </si>
  <si>
    <t>Institution und Wissenschaft</t>
  </si>
  <si>
    <t>Research practice, professional community and institutional governance — the object Sun et al. explicitly removed and the one German Hochschullehrende cannot do without.</t>
  </si>
  <si>
    <t>UNESCO AI-CFT 1.3, 2.3, 5.1–5.3; DigCompEdu 1.1–1.4; ICT-CFT A1.L3, A5.L3, A6; gap noted in Sun et al. (2026), Table 5, session 3 ("Removed research and service categories")</t>
  </si>
  <si>
    <t>Note on O5</t>
  </si>
  <si>
    <t>Sun et al. (2026) record that their expert panel removed research and service categories from the framework (Table 5, session 3). That removal is defensible for a teaching-competence framework and indefensible for German Hochschullehrende, whose Dienstaufgaben include Forschung and akademische Selbstverwaltung. O5 closes the hole with UNESCO and DigCompEdu donor material.</t>
  </si>
  <si>
    <t>v0.9 unit</t>
  </si>
  <si>
    <t>Title (v0.9)</t>
  </si>
  <si>
    <t>v0.10 host</t>
  </si>
  <si>
    <t>Fit</t>
  </si>
  <si>
    <t>Note</t>
  </si>
  <si>
    <t>HET-D1</t>
  </si>
  <si>
    <t>Curate and generate curricular resources</t>
  </si>
  <si>
    <t>HET-C2 + HET-E3</t>
  </si>
  <si>
    <t>clean</t>
  </si>
  <si>
    <t>HET-D2</t>
  </si>
  <si>
    <t>Adapt and personalise materials inclusively</t>
  </si>
  <si>
    <t>HET-C2 + HET-E4</t>
  </si>
  <si>
    <t>HET-D3</t>
  </si>
  <si>
    <t>Co-design curricula and learning pathways</t>
  </si>
  <si>
    <t>O2 × P2</t>
  </si>
  <si>
    <t>HET-T1</t>
  </si>
  <si>
    <t>Enact AI-supported instruction</t>
  </si>
  <si>
    <t>HET-C3 + HET-C2</t>
  </si>
  <si>
    <t>HET-T2</t>
  </si>
  <si>
    <t>Scaffold learning adaptively</t>
  </si>
  <si>
    <t>HET-M4 + HET-E4</t>
  </si>
  <si>
    <t>HET-T3</t>
  </si>
  <si>
    <t>Triadic teacher–student–AI dialogue</t>
  </si>
  <si>
    <t>HET-T4</t>
  </si>
  <si>
    <t>Student self-regulated AI use</t>
  </si>
  <si>
    <t>O3 × P2</t>
  </si>
  <si>
    <t>collapses into P2</t>
  </si>
  <si>
    <t>Was not a competence but the P2 reading of HET-M1. Confirms the reservation recorded in v0.9.</t>
  </si>
  <si>
    <t>HET-A1</t>
  </si>
  <si>
    <t>Formative assessment design</t>
  </si>
  <si>
    <t>HET-C2 + HET-M1</t>
  </si>
  <si>
    <t>HET-A2</t>
  </si>
  <si>
    <t>Learning analytics interpretation</t>
  </si>
  <si>
    <t>HET-E3 + HET-E4</t>
  </si>
  <si>
    <t>HET-A3</t>
  </si>
  <si>
    <t>Human-accountable decision loops</t>
  </si>
  <si>
    <t>HET-A4</t>
  </si>
  <si>
    <t>Student self- and peer-assessment</t>
  </si>
  <si>
    <t>O4 × P2</t>
  </si>
  <si>
    <t>Was not a competence but the P2 reading of HET-M4. Confirms the reservation recorded in v0.9.</t>
  </si>
  <si>
    <t>HET-G1</t>
  </si>
  <si>
    <t>Legal framework</t>
  </si>
  <si>
    <t>spans O1–O5</t>
  </si>
  <si>
    <t>no host — Stratum X</t>
  </si>
  <si>
    <t>Applying a legal norm is not a widened reading of any AILit competence. Folding it into HET-E7 would return law to ethics and reverse a twice-argued decision.</t>
  </si>
  <si>
    <t>HET-G2</t>
  </si>
  <si>
    <t>Academic integrity</t>
  </si>
  <si>
    <t>HET-G3</t>
  </si>
  <si>
    <t>Scholarly work with AI</t>
  </si>
  <si>
    <t>O3–O5</t>
  </si>
  <si>
    <t>contested — kept discrete</t>
  </si>
  <si>
    <t>Contested. Research is arguably a new object rather than a new operation; kept discrete because methodological rigour constitutes the academic role, and because Sun et al. removed research categories from their own framework.</t>
  </si>
  <si>
    <t>HET-G4</t>
  </si>
  <si>
    <t>Professional development</t>
  </si>
  <si>
    <t>CPD is an operation on the practitioner, not on an object of academic work. AILit addresses teachers in Roles and Responsibilities, not as competence bearers.</t>
  </si>
  <si>
    <t>HET-G5</t>
  </si>
  <si>
    <t>Institutional governance</t>
  </si>
  <si>
    <t>HET-S4 + HET-S2</t>
  </si>
  <si>
    <t>Summary</t>
  </si>
  <si>
    <t>What changes</t>
  </si>
  <si>
    <t>v0.9 (Variant A)</t>
  </si>
  <si>
    <t>v0.10 (Widened Core Concepts)</t>
  </si>
  <si>
    <t>Structure</t>
  </si>
  <si>
    <t>8 domains in two parts (19 + 16)</t>
  </si>
  <si>
    <t>4 domains, structurally identical to AILit, + Stratum X (3)</t>
  </si>
  <si>
    <t>Units</t>
  </si>
  <si>
    <t>35 — upper edge of the corridor</t>
  </si>
  <si>
    <t>22 — mid-corridor</t>
  </si>
  <si>
    <t>Professional practice</t>
  </si>
  <si>
    <t>Four separate domains (D5–D8)</t>
  </si>
  <si>
    <t>Object scope O2–O5 declared on the core competences</t>
  </si>
  <si>
    <t>One ID (e.g. HET-A4)</t>
  </si>
  <si>
    <t>Triple: ID × object × perspective (e.g. HET-M4 · O4 · P2)</t>
  </si>
  <si>
    <t>Gap analysis</t>
  </si>
  <si>
    <t>Flat list of 35</t>
  </si>
  <si>
    <t>19 × 5 coverage grid — empty cells are visible holes</t>
  </si>
  <si>
    <t>Teaching-cycle narrative</t>
  </si>
  <si>
    <t>Visible in the D5→D8 sequence</t>
  </si>
  <si>
    <t>Lost from the structure; documented in prose</t>
  </si>
  <si>
    <t>Fidelity to AILit</t>
  </si>
  <si>
    <t>AILit plus an annex</t>
  </si>
  <si>
    <t>Is AILit, with a declared object scope</t>
  </si>
  <si>
    <t>Fidelity to Sun et al.</t>
  </si>
  <si>
    <t>Dimensions promoted to domains</t>
  </si>
  <si>
    <t>Dimensions kept as an axis, as in Sun's own matrix</t>
  </si>
  <si>
    <t>HETAICF level (EN)</t>
  </si>
  <si>
    <t>HETAICF-Niveau (DE)</t>
  </si>
  <si>
    <t>OECD/EU AILit</t>
  </si>
  <si>
    <t>UNESCO AI-CFT</t>
  </si>
  <si>
    <t>UNESCO ICT-CFT</t>
  </si>
  <si>
    <t>DigCompEdu</t>
  </si>
  <si>
    <t>DACT v1.0</t>
  </si>
  <si>
    <t>Grundlagen</t>
  </si>
  <si>
    <t>Basic</t>
  </si>
  <si>
    <t>Acquire</t>
  </si>
  <si>
    <t>L1 Knowledge Acquisition</t>
  </si>
  <si>
    <t>A1–A2 Newcomer–Explorer</t>
  </si>
  <si>
    <t>Level 1</t>
  </si>
  <si>
    <t>Angewandt</t>
  </si>
  <si>
    <t>Intermediate</t>
  </si>
  <si>
    <t>Deepen</t>
  </si>
  <si>
    <t>L2 Knowledge Deepening</t>
  </si>
  <si>
    <t>B1–B2 Integrator–Advanced</t>
  </si>
  <si>
    <t>Level 2</t>
  </si>
  <si>
    <t>Fortgeschritten</t>
  </si>
  <si>
    <t>Create</t>
  </si>
  <si>
    <t>L3 Knowledge Creation</t>
  </si>
  <si>
    <t>C1–C2 Leader–Pioneer</t>
  </si>
  <si>
    <t>Level 3</t>
  </si>
  <si>
    <t>Caveat</t>
  </si>
  <si>
    <t>Substantive correspondence, not stage identity. AILit, Sun et al. and UNESCO all use three levels, so no translation loss occurs at the level axis; DigCompEdu's six stages are mapped in pairs.</t>
  </si>
  <si>
    <t>Perspective axis (L3, Sun et al. 2026)</t>
  </si>
  <si>
    <t>Perspective (EN)</t>
  </si>
  <si>
    <t>Perspektive (DE)</t>
  </si>
  <si>
    <t>Eigene Kompetenz</t>
  </si>
  <si>
    <t>Sun et al.: "Teacher's own literacy / usage" (Table 6)</t>
  </si>
  <si>
    <t>Befähigung Studierender</t>
  </si>
  <si>
    <t>Sun et al.: "Empowering students' literacy / usage" (Table 6)</t>
  </si>
  <si>
    <t>Level naming (review decision, v0.11)</t>
  </si>
  <si>
    <t>Level 3 renamed from "Expert / Expert:in" to "Advanced / Fortgeschritten" to align with the Basic–Intermediate–Advanced usage of OECD/EU AILit and Sun et al. and to avoid implying a professional status rather than a degree of competence.</t>
  </si>
  <si>
    <t>Grounding of the levels (open)</t>
  </si>
  <si>
    <t>Open options: (a) tier definitions of Sun et al. (2026); (b) SOLO taxonomy (Biggs &amp; Collis, 1982); (c) Webb's Depth of Knowledge (Webb, 1997). Options (b) and (c) make transfer distance the ordering dimension. See Definitions document §8.1.</t>
  </si>
  <si>
    <t>Attainability (open)</t>
  </si>
  <si>
    <t>Foundation and Applied are targetable through short-format professional development (workshops, learning nuggets). Advanced presupposes multi-year practice and mentoring and should be treated as an orientation horizon, not as a promised learning outcome.</t>
  </si>
  <si>
    <t>Criterion</t>
  </si>
  <si>
    <t>Kriterium (DE)</t>
  </si>
  <si>
    <t>How the HETAICF answers it</t>
  </si>
  <si>
    <t>Where</t>
  </si>
  <si>
    <t>KK-A2</t>
  </si>
  <si>
    <t>Granularität (Korridor 15–35 kodierbare Einheiten)</t>
  </si>
  <si>
    <t>22 units: 19 (AILit, retained verbatim) + 3 (Stratum X). Mid-corridor, against 35 in v0.9.</t>
  </si>
  <si>
    <t>HETAICF (gesamt)</t>
  </si>
  <si>
    <t>KK-A4</t>
  </si>
  <si>
    <t>Adaptierbarkeit Hochschule — Lücke: wissenschaftliches Arbeiten fehlt vollständig</t>
  </si>
  <si>
    <t>Closed by HET-X2 and by the O5 object scope; the gap is corroborated by Sun et al.'s own removal of research and service categories (Table 5, session 3).</t>
  </si>
  <si>
    <t>HET-X2, O5</t>
  </si>
  <si>
    <t>KK-A5</t>
  </si>
  <si>
    <t>Maschinenlesbarkeit &amp; Kodier-Infrastruktur</t>
  </si>
  <si>
    <t>Stable IDs unchanged from v0.9 for the 19 core units; tagging triple ID × O × P; XLSX/CSV/JSON export.</t>
  </si>
  <si>
    <t>Technisches KI-Verständnis</t>
  </si>
  <si>
    <t>Covered in Engage; LLM specifics and hallucination named explicitly.</t>
  </si>
  <si>
    <t>HET-E1, HET-E2, HET-M2, HET-S1</t>
  </si>
  <si>
    <t>Anwendungskompetenz inkl. begründeter Nicht-Nutzung</t>
  </si>
  <si>
    <t>Reasoned non-use is an equal-standing outcome of HET-M1 and is declared across four objects.</t>
  </si>
  <si>
    <t>HET-M1 (O1–O4)</t>
  </si>
  <si>
    <t>Kritisches Denken und Bewertung (Artefakt- und Praxiskritik)</t>
  </si>
  <si>
    <t>Artefact critique in HET-E3, practice critique and deskilling reflection in HET-M3.</t>
  </si>
  <si>
    <t>HET-E3, HET-M3, HET-M4</t>
  </si>
  <si>
    <t>KK-B4</t>
  </si>
  <si>
    <t>Data Literacy (Training / Interaktion / Analyse)</t>
  </si>
  <si>
    <t>Data as training basis (HET-S3 O1), as interaction object (HET-E4), as object of analysis and design (HET-S3 O4/O5, HET-X2).</t>
  </si>
  <si>
    <t>HET-E4, HET-S3, HET-X2</t>
  </si>
  <si>
    <t>Ethik</t>
  </si>
  <si>
    <t>Hybrid modelling retained: cross-cutting and anchored discretely in HET-E7 across three objects.</t>
  </si>
  <si>
    <t>HET-E7 (Anker), HET-E6, HET-C4</t>
  </si>
  <si>
    <t>KK-B6</t>
  </si>
  <si>
    <t>Recht / Regulation</t>
  </si>
  <si>
    <t>Standalone legal stratum retained as HET-X1 — the residue the widening mechanism cannot absorb, which is itself the argument for the deviation.</t>
  </si>
  <si>
    <t>HET-X1, L2</t>
  </si>
  <si>
    <t>Gesellschaftlich-kritische Reflexion</t>
  </si>
  <si>
    <t>Platform concentration and epistemic authority carried in HET-E6 O5; equity of access in HET-S4 O5.</t>
  </si>
  <si>
    <t>HET-E6 (O5), HET-S4 (O5)</t>
  </si>
  <si>
    <t>KK-B8</t>
  </si>
  <si>
    <t>GenAI-Relevanz (inkl. Prompting)</t>
  </si>
  <si>
    <t>Prompting has an explicit home in HET-C3 with a three-level progression and three declared objects.</t>
  </si>
  <si>
    <t>HET-C3 (O1, O3, O5)</t>
  </si>
  <si>
    <t>KK-B9</t>
  </si>
  <si>
    <t>Gestaltungskompetenz</t>
  </si>
  <si>
    <t>Shape AI strengthened towards sociotechnical participation and now declared across teaching, assessment and institutional objects.</t>
  </si>
  <si>
    <t>HET-S1 to HET-S4</t>
  </si>
  <si>
    <t>Didaktische bzw. Selbstkompetenz</t>
  </si>
  <si>
    <t>Carried by the O2/O3/O4 object cells rather than by separate domains — the change that distinguishes v0.10 from v0.9; self-competence in HET-X3.</t>
  </si>
  <si>
    <t>O2, O3, O4 cells; HET-X3</t>
  </si>
  <si>
    <t>KK-E1</t>
  </si>
  <si>
    <t>Interoperabilität / Crosswalk-Fähigkeit</t>
  </si>
  <si>
    <t>Improved: the framework is now structurally identical to AILit at four domains and 19 competences, so the crosswalk to the OECD source is one-to-one.</t>
  </si>
  <si>
    <t>KK-E2</t>
  </si>
  <si>
    <t>Rollendifferenzierung</t>
  </si>
  <si>
    <t>Teaching staff primary; other roles cross-referenced (Layer L6).</t>
  </si>
  <si>
    <t>Layer L6</t>
  </si>
  <si>
    <t>KK-E3</t>
  </si>
  <si>
    <t>Assessierbarkeit &amp; Instrumentierung</t>
  </si>
  <si>
    <t>Evaluation layer unchanged: AIssessment (64 items, 5 levels, legal dimension CD6) primary; MAILS (32 items) for the classic core.</t>
  </si>
  <si>
    <t>Evaluationsschicht</t>
  </si>
  <si>
    <t>Provision</t>
  </si>
  <si>
    <t>Status</t>
  </si>
  <si>
    <t>Consequence for the framework</t>
  </si>
  <si>
    <t>Bound competences / cells</t>
  </si>
  <si>
    <t>EU AI Act Art. 3(56)</t>
  </si>
  <si>
    <t>Legal definition of AI literacy</t>
  </si>
  <si>
    <t>Definition</t>
  </si>
  <si>
    <t>Supplies the legal reading of AI literacy: informed deployment plus awareness of opportunities, risks and harms.</t>
  </si>
  <si>
    <t>Framework as a whole</t>
  </si>
  <si>
    <t>EU AI Act Art. 4</t>
  </si>
  <si>
    <t>AI literacy duty of providers and deployers</t>
  </si>
  <si>
    <t>Binding duty (from 02/2025)</t>
  </si>
  <si>
    <t>The reason D1 Foundation is universal and mandatory for all teaching staff; the framework doubles as documentation of compliance.</t>
  </si>
  <si>
    <t>D1 (all), HET-X1, HET-X3</t>
  </si>
  <si>
    <t>EU AI Act Art. 5(1)(b)</t>
  </si>
  <si>
    <t>Prohibition: exploitation of vulnerabilities (incl. age)</t>
  </si>
  <si>
    <t>Prohibition</t>
  </si>
  <si>
    <t>Hard limit on permissible design of AI-supported teaching and support systems.</t>
  </si>
  <si>
    <t>HET-E6 · O4, HET-X1</t>
  </si>
  <si>
    <t>EU AI Act Art. 5(1)(f)</t>
  </si>
  <si>
    <t>Prohibition: emotion recognition in educational institutions</t>
  </si>
  <si>
    <t>Rules out engagement and attention monitoring by affective computing for instructional or administrative use.</t>
  </si>
  <si>
    <t>HET-X1, HET-M4 · O3/O4</t>
  </si>
  <si>
    <t>EU AI Act Art. 14</t>
  </si>
  <si>
    <t>Human oversight of high-risk systems</t>
  </si>
  <si>
    <t>Binding duty</t>
  </si>
  <si>
    <t>Requires capacity to understand outputs, detect anomalies, resist automation bias, override and halt; makes competence maintenance itself a legal matter.</t>
  </si>
  <si>
    <t>HET-M4 · O1/O4, HET-M3 · O5</t>
  </si>
  <si>
    <t>EU AI Act Arts. 26, 26(11)</t>
  </si>
  <si>
    <t>Deployer duties; informing affected learners</t>
  </si>
  <si>
    <t>Institutional oversight structures and the duty to inform students where a high-risk system affects them.</t>
  </si>
  <si>
    <t>HET-M4 · O4/O5, HET-M2 · O5, HET-X1</t>
  </si>
  <si>
    <t>EU AI Act Art. 27</t>
  </si>
  <si>
    <t>Fundamental rights impact assessment (public bodies)</t>
  </si>
  <si>
    <t>Applies to universities as public bodies before deploying Annex III systems; Advanced-level task.</t>
  </si>
  <si>
    <t>HET-S1 · O5, HET-S4 · O5, HET-X1</t>
  </si>
  <si>
    <t>EU AI Act Art. 50</t>
  </si>
  <si>
    <t>Transparency obligations for generative systems</t>
  </si>
  <si>
    <t>Supports disclosure practice for AI-generated teaching material and publications.</t>
  </si>
  <si>
    <t>HET-C4 · O1, HET-X2</t>
  </si>
  <si>
    <t>EU AI Act Annex III §3(a)–(d)</t>
  </si>
  <si>
    <t>High-risk: admission, evaluation of learning outcomes, level assignment, proctoring</t>
  </si>
  <si>
    <t>High-risk classification</t>
  </si>
  <si>
    <t>Converts parts of the O4 object from good practice into legal obligation; the sharpest boundary in the framework.</t>
  </si>
  <si>
    <t>HET-M4 · O4, HET-E4 · O4, HET-S1 · O4</t>
  </si>
  <si>
    <t>GDPR Art. 5</t>
  </si>
  <si>
    <t>Principles of processing personal data</t>
  </si>
  <si>
    <t>Governs learning analytics and any processing of student data by AI systems.</t>
  </si>
  <si>
    <t>HET-S3 · O1/O4, HET-X1</t>
  </si>
  <si>
    <t>GDPR Art. 22</t>
  </si>
  <si>
    <t>No solely automated decisions with legal or similar effect</t>
  </si>
  <si>
    <t>The legal core of the non-delegable final judgement in assessment.</t>
  </si>
  <si>
    <t>HET-M4 · O4, HET-S3 · O4</t>
  </si>
  <si>
    <t>Status note</t>
  </si>
  <si>
    <t>These provisions are constraints the framework must satisfy, not competences it defines. Only HET-X1 makes the application of the law itself the object of a competence — which is precisely why the widening mechanism cannot absorb it.</t>
  </si>
  <si>
    <t>Area</t>
  </si>
  <si>
    <t>Status and reason</t>
  </si>
  <si>
    <t>Classification</t>
  </si>
  <si>
    <t>AI in doctoral supervision</t>
  </si>
  <si>
    <t>No reviewed framework defines competences for AI use in supervision relationships. Left open rather than invented.</t>
  </si>
  <si>
    <t>open</t>
  </si>
  <si>
    <t>AI in third-mission and transfer activities</t>
  </si>
  <si>
    <t>Not covered by any donor framework at competence level.</t>
  </si>
  <si>
    <t>Discipline-specific AI competence (Fachdidaktik)</t>
  </si>
  <si>
    <t>HETAICF is subject-neutral; discipline-specific elaboration is delegated to faculty-level work, as in DACT.</t>
  </si>
  <si>
    <t>delegated</t>
  </si>
  <si>
    <t>Administrative-staff layer</t>
  </si>
  <si>
    <t>Tier B: awaits ingest of ALTL/EDUCAUSE Appendices B–D and Bertelsmann 2023/Fischer 2025.</t>
  </si>
  <si>
    <t>Tier B pending</t>
  </si>
  <si>
    <t>Student layer</t>
  </si>
  <si>
    <t>Tier B: cross-referenced to UNESCO AI-CFS (2024b), 12 blocks, itemisation pending.</t>
  </si>
  <si>
    <t>Empty cells in the 19 × 5 grid</t>
  </si>
  <si>
    <t>36 of 95 cells are not activated. Some are genuine non-applicability (HET-C3 × O4 would be prompting for grading, deliberately not endorsed); others are candidates for later activation once donor material exists.</t>
  </si>
  <si>
    <t>by design / under review</t>
  </si>
  <si>
    <t>Open decisions from the review of v0.9 / v0.10 (see Definitions §8.1)</t>
  </si>
  <si>
    <t>Grounding of the progression model</t>
  </si>
  <si>
    <t>Sun et al. tiers vs. SOLO (Biggs &amp; Collis, 1982) vs. Webb DoK (1997); hybrid possible.</t>
  </si>
  <si>
    <t>One framework or two</t>
  </si>
  <si>
    <t>Keep dual perspective P1/P2 in one framework, or shared Foundation splitting at Applied/Advanced into a staff framework (Sun et al.) and a student framework (UNESCO AI-CFS). Affects the tag vocabulary.</t>
  </si>
  <si>
    <t>Further fusion of competences</t>
  </si>
  <si>
    <t>Candidates: HET-E1+HET-E2, HET-S2+HET-S3, HET-E5 into HET-E7. Cost: breaks 1:1 correspondence with AILit.</t>
  </si>
  <si>
    <t>Identifier scheme</t>
  </si>
  <si>
    <t>Keep HET-E1 … HET-S4, or renumber as HET-D1.1 … HET-D4.4. Renumbering invalidates existing tags (KK-A5).</t>
  </si>
  <si>
    <t>#</t>
  </si>
  <si>
    <t>Reference (APA 7)</t>
  </si>
  <si>
    <t>Adamakis, M., &amp; Rachiotis, T. (2025). Artificial intelligence in higher education: A state-of-the-art overview of pedagogical integrity, artificial intelligence literacy, and policy integration. Encyclopedia. https://doi.org/10.3390/encyclopedia5040180</t>
  </si>
  <si>
    <t>Bekiaridis, G., &amp; Attwell, G. (2023). Supplement to the DigCompEdu framework: Outlining the skills and competences of educators related to AI in education. AI Pioneers — Work Package 3 (ERASMUS+).</t>
  </si>
  <si>
    <t>Carolus, A., Koch, M. J., Straka, S., Latoschik, M. E., &amp; Wienrich, C. (2023). MAILS — Meta AI literacy scale. Computers in Human Behavior: Artificial Humans, 1(2), 100014.</t>
  </si>
  <si>
    <t>Catakli, M., &amp; Puntschuh, M. (2023). KI-Kompetenzen für die Verwaltung. Bertelsmann Stiftung.</t>
  </si>
  <si>
    <t>Celik, I. (2023). Towards Intelligent-TPACK: An empirical study on teachers' professional knowledge to ethically integrate artificial intelligence (AI)-based tools into education. Computers in Human Behavior, 138, 107468.</t>
  </si>
  <si>
    <t>Chee, H., Ahn, S., &amp; Lee, J. (2024). A competency framework for AI literacy: Variations by different learner groups and an implied learning pathway. British Journal of Educational Technology, 56, 2146–2182.</t>
  </si>
  <si>
    <t>Chiu, T. K. F. (2024). The impact of generative AI (GenAI) on practices, policies and research direction in education. Interactive Learning Environments, 32(10), 6187–6203.</t>
  </si>
  <si>
    <t>Deroncele-Acosta, Á., Sayán-Rivera, R. M. E., Mendoza-López, A. D., &amp; Norabuena-Figueroa, E. (2025). Generative artificial intelligence and transversal competencies in higher education: A systematic review. Applied System Innovation, 8(3), 83.</t>
  </si>
  <si>
    <t>European Parliament &amp; Council of the European Union. (2024). Regulation (EU) 2024/1689 laying down harmonised rules on artificial intelligence (Artificial Intelligence Act). Official Journal of the European Union.</t>
  </si>
  <si>
    <t>Hackl, S., Müller, F., &amp; Sailer, M. (2026). The AI literacy heptagon. [AI literacy dimension model].</t>
  </si>
  <si>
    <t>Hidayati, B. (2025). Exploring the competencies of administrative staff in the era of artificial intelligence: A qualitative study in higher education. Journal of Office Administration: Education and Practice, 5(2), 116–131.</t>
  </si>
  <si>
    <t>Kassorla, M., Georgieva, M., &amp; Papini, A. (2024). AI literacy in teaching and learning (ALTL): A durable framework for higher education. EDUCAUSE.</t>
  </si>
  <si>
    <t>KMK — Kultusministerkonferenz. (2021). Lehren und Lernen in der digitalen Welt. Sekretariat der KMK.</t>
  </si>
  <si>
    <t>KMK — Kultusministerkonferenz. (2024). Handlungsempfehlung für die Bildungsverwaltung zum Umgang mit Künstlicher Intelligenz in schulischen Bildungsprozessen. Sekretariat der KMK.</t>
  </si>
  <si>
    <t>Long, D., &amp; Magerko, B. (2020). What is AI literacy? Competencies and design considerations. Proceedings of the 2020 CHI Conference on Human Factors in Computing Systems, 1–16.</t>
  </si>
  <si>
    <t>OECD. (2026a). OECD digital education outlook 2026: Exploring effective uses of generative AI in education. OECD Publishing. https://doi.org/10.1787/062a7394-en</t>
  </si>
  <si>
    <t>OECD/European Union. (2026). Empowering learners for the age of AI: An AI literacy framework for primary and secondary education. OECD Publishing. https://doi.org/10.1787/65cd27de-en</t>
  </si>
  <si>
    <t>Redecker, C., &amp; Punie, Y. (Eds.). (2017). European framework for the digital competence of educators: DigCompEdu. EUR 28775 EN. Publications Office of the European Union.</t>
  </si>
  <si>
    <t>Ren, X., &amp; Wu, M. (2025). Examining teaching competencies and challenges while integrating artificial intelligence in higher education. TechTrends, 69, 519–538.</t>
  </si>
  <si>
    <t>Rojo, A. P., Fontaines-Ruiz, T., Bracho, A., &amp; Cánquiz Rincón, L. (2025). From digital natives to AI natives: Emerging competencies and media and information literacy in higher education. Education Sciences, 15(9), 1134.</t>
  </si>
  <si>
    <t>Sposato, M. (2025). Artificial intelligence in educational leadership: A comprehensive taxonomy and future directions. International Journal of Educational Technology in Higher Education, 22.</t>
  </si>
  <si>
    <t>Sun, D., Ba, S., Cha, Y., Yu, J., Chiang, F.-K., Dai, H. M., &amp; Lim, C.-P. (2026). Empowering university teachers in higher education: A generative AI-responsive competency framework. Computers and Education: Artificial Intelligence, 10, 100542. https://doi.org/10.1016/j.caeai.2026.100542</t>
  </si>
  <si>
    <t>UNESCO. (2018). ICT competency framework for teachers: Version 3. UNESCO.</t>
  </si>
  <si>
    <t>UNESCO. (2024a). AI competency framework for teachers. UNESCO.</t>
  </si>
  <si>
    <t>UNESCO. (2024b). AI competency framework for students. UNESCO.</t>
  </si>
  <si>
    <t>Vuorikari, R., Kluzer, S., &amp; Punie, Y. (2022). DigComp 2.2: The digital competence framework for citizens. EUR 31006 EN. Publications Office of the European Union.</t>
  </si>
  <si>
    <t>ZLB OVGU Magdeburg / AK Digitalisierung im Lehramt. (2026). DACT-Framework v1.0 — Digital &amp; AI competency framework for university teacher trainers. Otto-von-Guericke-Universität Magdeburg.</t>
  </si>
  <si>
    <t>ZLB OVGU Magdeburg / Stifterverband-Konsortium. (2026). Kriterienkatalog zur Bewertung von KI-Kompetenzframeworks v1.0/1.1 [internes Arbeitsdokument].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</si>
</sst>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charset val="1"/>
    </font>
    <font>
      <b/>
      <sz val="16"/>
      <color rgb="FF1A4A88"/>
      <name val="Arial"/>
      <charset val="1"/>
    </font>
    <font>
      <i/>
      <sz val="11"/>
      <color rgb="FF555555"/>
      <name val="Arial"/>
      <charset val="1"/>
    </font>
    <font>
      <sz val="10"/>
      <color rgb="FF777777"/>
      <name val="Arial"/>
      <charset val="1"/>
    </font>
    <font>
      <b/>
      <sz val="10"/>
      <color rgb="FFFFFFFF"/>
      <name val="Arial"/>
      <charset val="1"/>
    </font>
    <font>
      <b/>
      <sz val="10"/>
      <color rgb="FF1A4A88"/>
      <name val="Arial"/>
      <charset val="1"/>
    </font>
    <font>
      <sz val="10"/>
      <name val="Arial"/>
      <charset val="1"/>
    </font>
    <font>
      <sz val="9"/>
      <name val="Arial"/>
      <charset val="1"/>
    </font>
    <font>
      <b/>
      <sz val="9"/>
      <color rgb="FF1A4A88"/>
      <name val="Arial"/>
      <charset val="1"/>
    </font>
    <font>
      <b/>
      <sz val="9"/>
      <color rgb="FF7A4F9E"/>
      <name val="Arial"/>
      <charset val="1"/>
    </font>
    <font>
      <i/>
      <sz val="9"/>
      <color rgb="FFAAAAAA"/>
      <name val="Arial"/>
      <charset val="1"/>
    </font>
    <font>
      <b/>
      <sz val="10"/>
      <color rgb="FF7A4F9E"/>
      <name val="Arial"/>
      <charset val="1"/>
    </font>
    <font>
      <i/>
      <sz val="9"/>
      <name val="Arial"/>
      <charset val="1"/>
    </font>
    <font>
      <b/>
      <sz val="10"/>
      <name val="Arial"/>
      <charset val="1"/>
    </font>
    <font>
      <b/>
      <sz val="9"/>
      <name val="Arial"/>
      <charset val="1"/>
    </font>
    <font>
      <i/>
      <sz val="9"/>
      <color rgb="FF0F7A5A"/>
      <name val="Arial"/>
      <charset val="1"/>
    </font>
    <font>
      <i/>
      <sz val="9"/>
      <color rgb="FF7A4F9E"/>
      <name val="Arial"/>
      <charset val="1"/>
    </font>
    <font>
      <b/>
      <sz val="11"/>
      <color rgb="FF1A4A88"/>
      <name val="Arial"/>
      <charset val="1"/>
    </font>
  </fonts>
  <fills count="7">
    <fill>
      <patternFill patternType="none"/>
    </fill>
    <fill>
      <patternFill patternType="gray125"/>
    </fill>
    <fill>
      <patternFill patternType="solid">
        <fgColor rgb="FF1A4A88"/>
        <bgColor rgb="FF003366"/>
      </patternFill>
    </fill>
    <fill>
      <patternFill patternType="solid">
        <fgColor rgb="FFEAF1F9"/>
        <bgColor rgb="FFF4F6F8"/>
      </patternFill>
    </fill>
    <fill>
      <patternFill patternType="solid">
        <fgColor rgb="FFF0E9F7"/>
        <bgColor rgb="FFEAF1F9"/>
      </patternFill>
    </fill>
    <fill>
      <patternFill patternType="solid">
        <fgColor rgb="FFD6E6F7"/>
        <bgColor rgb="FFEAF1F9"/>
      </patternFill>
    </fill>
    <fill>
      <patternFill patternType="solid">
        <fgColor rgb="FFF4F6F8"/>
        <bgColor rgb="FFEAF1F9"/>
      </patternFill>
    </fill>
  </fills>
  <borders count="2">
    <border>
      <left/>
      <right/>
      <top/>
      <bottom/>
      <diagonal/>
    </border>
    <border>
      <left style="thin">
        <color rgb="FFBFCBD9"/>
      </left>
      <right style="thin">
        <color rgb="FFBFCBD9"/>
      </right>
      <top style="thin">
        <color rgb="FFBFCBD9"/>
      </top>
      <bottom style="thin">
        <color rgb="FFBFCBD9"/>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vertical="center" wrapText="1"/>
    </xf>
    <xf numFmtId="0" fontId="5" fillId="0" borderId="1" xfId="0" applyFont="1" applyBorder="1" applyAlignment="1">
      <alignment vertical="top" wrapText="1"/>
    </xf>
    <xf numFmtId="0" fontId="6" fillId="0" borderId="1" xfId="0" applyFont="1" applyBorder="1" applyAlignment="1">
      <alignment vertical="top" wrapText="1"/>
    </xf>
    <xf numFmtId="0" fontId="7" fillId="3" borderId="1" xfId="0" applyFont="1" applyFill="1" applyBorder="1" applyAlignment="1">
      <alignment vertical="top" wrapText="1"/>
    </xf>
    <xf numFmtId="0" fontId="7" fillId="0" borderId="1" xfId="0" applyFont="1" applyBorder="1" applyAlignment="1">
      <alignment vertical="top" wrapText="1"/>
    </xf>
    <xf numFmtId="0" fontId="8" fillId="3" borderId="1" xfId="0" applyFont="1" applyFill="1" applyBorder="1" applyAlignment="1">
      <alignment vertical="top" wrapText="1"/>
    </xf>
    <xf numFmtId="0" fontId="7" fillId="4" borderId="1" xfId="0" applyFont="1" applyFill="1" applyBorder="1" applyAlignment="1">
      <alignment vertical="top" wrapText="1"/>
    </xf>
    <xf numFmtId="0" fontId="9" fillId="4" borderId="1" xfId="0" applyFont="1" applyFill="1" applyBorder="1" applyAlignment="1">
      <alignment vertical="top" wrapText="1"/>
    </xf>
    <xf numFmtId="0" fontId="10" fillId="0" borderId="1" xfId="0" applyFont="1" applyBorder="1" applyAlignment="1">
      <alignment vertical="top" wrapText="1"/>
    </xf>
    <xf numFmtId="0" fontId="8" fillId="0" borderId="1" xfId="0" applyFont="1" applyBorder="1" applyAlignment="1">
      <alignment vertical="top" wrapText="1"/>
    </xf>
    <xf numFmtId="0" fontId="11" fillId="0" borderId="0" xfId="0" applyFont="1"/>
    <xf numFmtId="0" fontId="12" fillId="0" borderId="0" xfId="0" applyFont="1" applyAlignment="1">
      <alignment vertical="top" wrapText="1"/>
    </xf>
    <xf numFmtId="0" fontId="5" fillId="5" borderId="1" xfId="0" applyFont="1" applyFill="1" applyBorder="1" applyAlignment="1">
      <alignment horizontal="center" vertical="center"/>
    </xf>
    <xf numFmtId="0" fontId="7" fillId="0" borderId="1" xfId="0" applyFont="1" applyBorder="1" applyAlignment="1">
      <alignment horizontal="center" vertical="center"/>
    </xf>
    <xf numFmtId="0" fontId="11" fillId="4" borderId="1" xfId="0" applyFont="1" applyFill="1" applyBorder="1" applyAlignment="1">
      <alignment horizontal="center" vertical="center"/>
    </xf>
    <xf numFmtId="0" fontId="5" fillId="6" borderId="0" xfId="0" applyFont="1" applyFill="1" applyAlignment="1">
      <alignment horizontal="center" vertical="center"/>
    </xf>
    <xf numFmtId="0" fontId="5" fillId="6" borderId="0" xfId="0" applyFont="1" applyFill="1" applyAlignment="1">
      <alignment horizontal="right" vertical="center"/>
    </xf>
    <xf numFmtId="0" fontId="13" fillId="0" borderId="0" xfId="0" applyFont="1"/>
    <xf numFmtId="0" fontId="5" fillId="0" borderId="0" xfId="0" applyFont="1"/>
    <xf numFmtId="0" fontId="14" fillId="3" borderId="1" xfId="0" applyFont="1" applyFill="1" applyBorder="1" applyAlignment="1">
      <alignment vertical="top" wrapText="1"/>
    </xf>
    <xf numFmtId="0" fontId="15" fillId="0" borderId="1" xfId="0" applyFont="1" applyBorder="1" applyAlignment="1">
      <alignment vertical="top" wrapText="1"/>
    </xf>
    <xf numFmtId="0" fontId="14" fillId="4" borderId="1" xfId="0" applyFont="1" applyFill="1" applyBorder="1" applyAlignment="1">
      <alignment vertical="top" wrapText="1"/>
    </xf>
    <xf numFmtId="0" fontId="9" fillId="0" borderId="1" xfId="0" applyFont="1" applyBorder="1" applyAlignment="1">
      <alignment vertical="top" wrapText="1"/>
    </xf>
    <xf numFmtId="0" fontId="16" fillId="0" borderId="1" xfId="0" applyFont="1" applyBorder="1" applyAlignment="1">
      <alignment vertical="top" wrapText="1"/>
    </xf>
    <xf numFmtId="0" fontId="14" fillId="0" borderId="1" xfId="0" applyFont="1" applyBorder="1" applyAlignment="1">
      <alignment vertical="top" wrapText="1"/>
    </xf>
    <xf numFmtId="0" fontId="17" fillId="0" borderId="0" xfId="0" applyFont="1"/>
    <xf numFmtId="0" fontId="13" fillId="0" borderId="1" xfId="0" applyFont="1" applyBorder="1" applyAlignment="1">
      <alignment vertical="top" wrapText="1"/>
    </xf>
  </cellXfs>
  <cellStyles count="1">
    <cellStyle name="Stand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A5A"/>
      <rgbColor rgb="FFBFCBD9"/>
      <rgbColor rgb="FF777777"/>
      <rgbColor rgb="FF9999FF"/>
      <rgbColor rgb="FF993366"/>
      <rgbColor rgb="FFF4F6F8"/>
      <rgbColor rgb="FFEAF1F9"/>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6E6F7"/>
      <rgbColor rgb="FFF0E9F7"/>
      <rgbColor rgb="FFFFFF99"/>
      <rgbColor rgb="FF99CCFF"/>
      <rgbColor rgb="FFFF99CC"/>
      <rgbColor rgb="FFCC99FF"/>
      <rgbColor rgb="FFFFCC99"/>
      <rgbColor rgb="FF3366FF"/>
      <rgbColor rgb="FF33CCCC"/>
      <rgbColor rgb="FF99CC00"/>
      <rgbColor rgb="FFFFCC00"/>
      <rgbColor rgb="FFFF9900"/>
      <rgbColor rgb="FFFF6600"/>
      <rgbColor rgb="FF7A4F9E"/>
      <rgbColor rgb="FFAAAAAA"/>
      <rgbColor rgb="FF003366"/>
      <rgbColor rgb="FF339966"/>
      <rgbColor rgb="FF003300"/>
      <rgbColor rgb="FF333300"/>
      <rgbColor rgb="FF993300"/>
      <rgbColor rgb="FF993366"/>
      <rgbColor rgb="FF1A4A88"/>
      <rgbColor rgb="FF5555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zoomScaleNormal="100" workbookViewId="0"/>
  </sheetViews>
  <sheetFormatPr defaultColWidth="8.7109375" defaultRowHeight="15"/>
  <cols>
    <col min="1" max="1" width="26" customWidth="1"/>
    <col min="2" max="2" width="112" customWidth="1"/>
  </cols>
  <sheetData>
    <row r="1" spans="1:2" ht="19.7" customHeight="1">
      <c r="A1" s="1" t="s">
        <v>0</v>
      </c>
    </row>
    <row r="2" spans="1:2" ht="15" customHeight="1">
      <c r="A2" s="2" t="s">
        <v>1</v>
      </c>
    </row>
    <row r="3" spans="1:2" ht="15" customHeight="1">
      <c r="A3" s="3" t="s">
        <v>2</v>
      </c>
    </row>
    <row r="5" spans="1:2" ht="33.75" customHeight="1">
      <c r="A5" s="4" t="s">
        <v>3</v>
      </c>
      <c r="B5" s="4" t="s">
        <v>4</v>
      </c>
    </row>
    <row r="6" spans="1:2" ht="33.75" customHeight="1">
      <c r="A6" s="5" t="s">
        <v>5</v>
      </c>
      <c r="B6" s="6" t="s">
        <v>6</v>
      </c>
    </row>
    <row r="7" spans="1:2" ht="33.75" customHeight="1">
      <c r="A7" s="5" t="s">
        <v>7</v>
      </c>
      <c r="B7" s="6" t="s">
        <v>8</v>
      </c>
    </row>
    <row r="8" spans="1:2" ht="33.75" customHeight="1">
      <c r="A8" s="5" t="s">
        <v>9</v>
      </c>
      <c r="B8" s="6" t="s">
        <v>10</v>
      </c>
    </row>
    <row r="9" spans="1:2" ht="33.75" customHeight="1">
      <c r="A9" s="5" t="s">
        <v>11</v>
      </c>
      <c r="B9" s="6" t="s">
        <v>12</v>
      </c>
    </row>
    <row r="10" spans="1:2" ht="33.75" customHeight="1">
      <c r="A10" s="5" t="s">
        <v>13</v>
      </c>
      <c r="B10" s="6" t="s">
        <v>14</v>
      </c>
    </row>
    <row r="11" spans="1:2" ht="33.75" customHeight="1">
      <c r="A11" s="5" t="s">
        <v>15</v>
      </c>
      <c r="B11" s="6" t="s">
        <v>16</v>
      </c>
    </row>
    <row r="12" spans="1:2" ht="33.75" customHeight="1">
      <c r="A12" s="5" t="s">
        <v>17</v>
      </c>
      <c r="B12" s="6" t="s">
        <v>18</v>
      </c>
    </row>
    <row r="13" spans="1:2" ht="33.75" customHeight="1">
      <c r="A13" s="5" t="s">
        <v>19</v>
      </c>
      <c r="B13" s="6" t="s">
        <v>20</v>
      </c>
    </row>
    <row r="14" spans="1:2" ht="33.75" customHeight="1">
      <c r="A14" s="5" t="s">
        <v>21</v>
      </c>
      <c r="B14" s="6" t="s">
        <v>22</v>
      </c>
    </row>
    <row r="15" spans="1:2" ht="33.75" customHeight="1">
      <c r="A15" s="5" t="s">
        <v>23</v>
      </c>
      <c r="B15" s="6" t="s">
        <v>24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3"/>
  <sheetViews>
    <sheetView zoomScaleNormal="100" workbookViewId="0">
      <pane xSplit="3" ySplit="1" topLeftCell="D2" activePane="bottomRight" state="frozen"/>
      <selection pane="bottomRight"/>
      <selection pane="bottomLeft" activeCell="A2" sqref="A2"/>
      <selection pane="topRight" activeCell="D1" sqref="D1"/>
    </sheetView>
  </sheetViews>
  <sheetFormatPr defaultColWidth="8.7109375" defaultRowHeight="15"/>
  <cols>
    <col min="1" max="1" width="9" customWidth="1"/>
    <col min="2" max="2" width="13" customWidth="1"/>
    <col min="3" max="3" width="44" customWidth="1"/>
    <col min="4" max="13" width="30" customWidth="1"/>
  </cols>
  <sheetData>
    <row r="1" spans="1:13" ht="45.75" customHeight="1">
      <c r="A1" s="4" t="s">
        <v>25</v>
      </c>
      <c r="B1" s="4" t="s">
        <v>26</v>
      </c>
      <c r="C1" s="4" t="s">
        <v>27</v>
      </c>
      <c r="D1" s="4" t="s">
        <v>28</v>
      </c>
      <c r="E1" s="4" t="s">
        <v>29</v>
      </c>
      <c r="F1" s="4" t="s">
        <v>30</v>
      </c>
      <c r="G1" s="4" t="s">
        <v>31</v>
      </c>
      <c r="H1" s="4" t="s">
        <v>32</v>
      </c>
      <c r="I1" s="4" t="s">
        <v>33</v>
      </c>
      <c r="J1" s="4" t="s">
        <v>34</v>
      </c>
      <c r="K1" s="4" t="s">
        <v>35</v>
      </c>
      <c r="L1" s="4" t="s">
        <v>36</v>
      </c>
      <c r="M1" s="4" t="s">
        <v>37</v>
      </c>
    </row>
    <row r="2" spans="1:13" ht="43.5" customHeight="1">
      <c r="A2" s="7" t="s">
        <v>38</v>
      </c>
      <c r="B2" s="9" t="s">
        <v>39</v>
      </c>
      <c r="C2" s="8" t="s">
        <v>40</v>
      </c>
      <c r="D2" s="8" t="s">
        <v>41</v>
      </c>
      <c r="E2" s="8" t="s">
        <v>42</v>
      </c>
      <c r="F2" s="8" t="s">
        <v>43</v>
      </c>
      <c r="G2" s="8" t="s">
        <v>44</v>
      </c>
      <c r="H2" s="8" t="s">
        <v>45</v>
      </c>
      <c r="I2" s="8" t="s">
        <v>46</v>
      </c>
      <c r="J2" s="8" t="s">
        <v>47</v>
      </c>
      <c r="K2" s="8" t="s">
        <v>48</v>
      </c>
      <c r="L2" s="8" t="s">
        <v>49</v>
      </c>
      <c r="M2" s="8" t="s">
        <v>50</v>
      </c>
    </row>
    <row r="3" spans="1:13" ht="43.5" customHeight="1">
      <c r="A3" s="7" t="s">
        <v>38</v>
      </c>
      <c r="B3" s="9" t="s">
        <v>51</v>
      </c>
      <c r="C3" s="8" t="s">
        <v>52</v>
      </c>
      <c r="D3" s="8" t="s">
        <v>53</v>
      </c>
      <c r="E3" s="8" t="s">
        <v>42</v>
      </c>
      <c r="F3" s="8" t="s">
        <v>54</v>
      </c>
      <c r="G3" s="8" t="s">
        <v>55</v>
      </c>
      <c r="H3" s="8" t="s">
        <v>45</v>
      </c>
      <c r="I3" s="8" t="s">
        <v>56</v>
      </c>
      <c r="J3" s="8" t="s">
        <v>47</v>
      </c>
      <c r="K3" s="8" t="s">
        <v>57</v>
      </c>
      <c r="L3" s="8" t="s">
        <v>58</v>
      </c>
      <c r="M3" s="8" t="s">
        <v>50</v>
      </c>
    </row>
    <row r="4" spans="1:13" ht="43.5" customHeight="1">
      <c r="A4" s="7" t="s">
        <v>38</v>
      </c>
      <c r="B4" s="9" t="s">
        <v>59</v>
      </c>
      <c r="C4" s="8" t="s">
        <v>60</v>
      </c>
      <c r="D4" s="8" t="s">
        <v>61</v>
      </c>
      <c r="E4" s="8" t="s">
        <v>62</v>
      </c>
      <c r="F4" s="8" t="s">
        <v>63</v>
      </c>
      <c r="G4" s="8" t="s">
        <v>64</v>
      </c>
      <c r="H4" s="8" t="s">
        <v>45</v>
      </c>
      <c r="I4" s="8" t="s">
        <v>65</v>
      </c>
      <c r="J4" s="8" t="s">
        <v>66</v>
      </c>
      <c r="K4" s="8" t="s">
        <v>67</v>
      </c>
      <c r="L4" s="8" t="s">
        <v>68</v>
      </c>
      <c r="M4" s="8" t="s">
        <v>69</v>
      </c>
    </row>
    <row r="5" spans="1:13" ht="43.5" customHeight="1">
      <c r="A5" s="7" t="s">
        <v>38</v>
      </c>
      <c r="B5" s="9" t="s">
        <v>70</v>
      </c>
      <c r="C5" s="8" t="s">
        <v>71</v>
      </c>
      <c r="D5" s="8" t="s">
        <v>72</v>
      </c>
      <c r="E5" s="8" t="s">
        <v>73</v>
      </c>
      <c r="F5" s="8" t="s">
        <v>74</v>
      </c>
      <c r="G5" s="8" t="s">
        <v>44</v>
      </c>
      <c r="H5" s="8" t="s">
        <v>75</v>
      </c>
      <c r="I5" s="8" t="s">
        <v>76</v>
      </c>
      <c r="J5" s="8" t="s">
        <v>66</v>
      </c>
      <c r="K5" s="8" t="s">
        <v>77</v>
      </c>
      <c r="L5" s="8" t="s">
        <v>78</v>
      </c>
      <c r="M5" s="8" t="s">
        <v>79</v>
      </c>
    </row>
    <row r="6" spans="1:13" ht="43.5" customHeight="1">
      <c r="A6" s="7" t="s">
        <v>38</v>
      </c>
      <c r="B6" s="9" t="s">
        <v>80</v>
      </c>
      <c r="C6" s="8" t="s">
        <v>81</v>
      </c>
      <c r="D6" s="8" t="s">
        <v>82</v>
      </c>
      <c r="E6" s="8" t="s">
        <v>83</v>
      </c>
      <c r="F6" s="12" t="s">
        <v>84</v>
      </c>
      <c r="G6" s="8" t="s">
        <v>85</v>
      </c>
      <c r="H6" s="8" t="s">
        <v>86</v>
      </c>
      <c r="I6" s="12" t="s">
        <v>84</v>
      </c>
      <c r="J6" s="8" t="s">
        <v>66</v>
      </c>
      <c r="K6" s="12" t="s">
        <v>84</v>
      </c>
      <c r="L6" s="12" t="s">
        <v>84</v>
      </c>
      <c r="M6" s="8" t="s">
        <v>87</v>
      </c>
    </row>
    <row r="7" spans="1:13" ht="43.5" customHeight="1">
      <c r="A7" s="7" t="s">
        <v>38</v>
      </c>
      <c r="B7" s="9" t="s">
        <v>88</v>
      </c>
      <c r="C7" s="8" t="s">
        <v>89</v>
      </c>
      <c r="D7" s="8" t="s">
        <v>90</v>
      </c>
      <c r="E7" s="8" t="s">
        <v>91</v>
      </c>
      <c r="F7" s="8" t="s">
        <v>92</v>
      </c>
      <c r="G7" s="8" t="s">
        <v>93</v>
      </c>
      <c r="H7" s="8" t="s">
        <v>94</v>
      </c>
      <c r="I7" s="8" t="s">
        <v>95</v>
      </c>
      <c r="J7" s="8" t="s">
        <v>66</v>
      </c>
      <c r="K7" s="8" t="s">
        <v>96</v>
      </c>
      <c r="L7" s="8" t="s">
        <v>97</v>
      </c>
      <c r="M7" s="8" t="s">
        <v>98</v>
      </c>
    </row>
    <row r="8" spans="1:13" ht="43.5" customHeight="1">
      <c r="A8" s="7" t="s">
        <v>38</v>
      </c>
      <c r="B8" s="9" t="s">
        <v>99</v>
      </c>
      <c r="C8" s="8" t="s">
        <v>100</v>
      </c>
      <c r="D8" s="8" t="s">
        <v>101</v>
      </c>
      <c r="E8" s="8" t="s">
        <v>102</v>
      </c>
      <c r="F8" s="8" t="s">
        <v>54</v>
      </c>
      <c r="G8" s="8" t="s">
        <v>103</v>
      </c>
      <c r="H8" s="8" t="s">
        <v>94</v>
      </c>
      <c r="I8" s="8" t="s">
        <v>95</v>
      </c>
      <c r="J8" s="8" t="s">
        <v>66</v>
      </c>
      <c r="K8" s="8" t="s">
        <v>104</v>
      </c>
      <c r="L8" s="8" t="s">
        <v>105</v>
      </c>
      <c r="M8" s="8" t="s">
        <v>87</v>
      </c>
    </row>
    <row r="9" spans="1:13" ht="43.5" customHeight="1">
      <c r="A9" s="7" t="s">
        <v>106</v>
      </c>
      <c r="B9" s="9" t="s">
        <v>107</v>
      </c>
      <c r="C9" s="8" t="s">
        <v>108</v>
      </c>
      <c r="D9" s="8" t="s">
        <v>109</v>
      </c>
      <c r="E9" s="8" t="s">
        <v>110</v>
      </c>
      <c r="F9" s="8" t="s">
        <v>111</v>
      </c>
      <c r="G9" s="8" t="s">
        <v>112</v>
      </c>
      <c r="H9" s="8" t="s">
        <v>113</v>
      </c>
      <c r="I9" s="8" t="s">
        <v>114</v>
      </c>
      <c r="J9" s="8" t="s">
        <v>115</v>
      </c>
      <c r="K9" s="8" t="s">
        <v>116</v>
      </c>
      <c r="L9" s="12" t="s">
        <v>84</v>
      </c>
      <c r="M9" s="8" t="s">
        <v>117</v>
      </c>
    </row>
    <row r="10" spans="1:13" ht="43.5" customHeight="1">
      <c r="A10" s="7" t="s">
        <v>106</v>
      </c>
      <c r="B10" s="9" t="s">
        <v>118</v>
      </c>
      <c r="C10" s="8" t="s">
        <v>119</v>
      </c>
      <c r="D10" s="8" t="s">
        <v>120</v>
      </c>
      <c r="E10" s="8" t="s">
        <v>121</v>
      </c>
      <c r="F10" s="8" t="s">
        <v>122</v>
      </c>
      <c r="G10" s="8" t="s">
        <v>112</v>
      </c>
      <c r="H10" s="8" t="s">
        <v>123</v>
      </c>
      <c r="I10" s="8" t="s">
        <v>114</v>
      </c>
      <c r="J10" s="8" t="s">
        <v>124</v>
      </c>
      <c r="K10" s="8" t="s">
        <v>125</v>
      </c>
      <c r="L10" s="12" t="s">
        <v>84</v>
      </c>
      <c r="M10" s="8" t="s">
        <v>126</v>
      </c>
    </row>
    <row r="11" spans="1:13" ht="43.5" customHeight="1">
      <c r="A11" s="7" t="s">
        <v>106</v>
      </c>
      <c r="B11" s="9" t="s">
        <v>127</v>
      </c>
      <c r="C11" s="8" t="s">
        <v>128</v>
      </c>
      <c r="D11" s="8" t="s">
        <v>129</v>
      </c>
      <c r="E11" s="8" t="s">
        <v>62</v>
      </c>
      <c r="F11" s="8" t="s">
        <v>63</v>
      </c>
      <c r="G11" s="8" t="s">
        <v>130</v>
      </c>
      <c r="H11" s="8" t="s">
        <v>131</v>
      </c>
      <c r="I11" s="8" t="s">
        <v>132</v>
      </c>
      <c r="J11" s="8" t="s">
        <v>47</v>
      </c>
      <c r="K11" s="8" t="s">
        <v>133</v>
      </c>
      <c r="L11" s="8" t="s">
        <v>58</v>
      </c>
      <c r="M11" s="8" t="s">
        <v>134</v>
      </c>
    </row>
    <row r="12" spans="1:13" ht="43.5" customHeight="1">
      <c r="A12" s="7" t="s">
        <v>106</v>
      </c>
      <c r="B12" s="9" t="s">
        <v>135</v>
      </c>
      <c r="C12" s="8" t="s">
        <v>136</v>
      </c>
      <c r="D12" s="8" t="s">
        <v>137</v>
      </c>
      <c r="E12" s="8" t="s">
        <v>138</v>
      </c>
      <c r="F12" s="8" t="s">
        <v>54</v>
      </c>
      <c r="G12" s="8" t="s">
        <v>139</v>
      </c>
      <c r="H12" s="8" t="s">
        <v>140</v>
      </c>
      <c r="I12" s="8" t="s">
        <v>95</v>
      </c>
      <c r="J12" s="8" t="s">
        <v>141</v>
      </c>
      <c r="K12" s="8" t="s">
        <v>142</v>
      </c>
      <c r="L12" s="8" t="s">
        <v>143</v>
      </c>
      <c r="M12" s="8" t="s">
        <v>87</v>
      </c>
    </row>
    <row r="13" spans="1:13" ht="43.5" customHeight="1">
      <c r="A13" s="7" t="s">
        <v>144</v>
      </c>
      <c r="B13" s="9" t="s">
        <v>145</v>
      </c>
      <c r="C13" s="8" t="s">
        <v>146</v>
      </c>
      <c r="D13" s="8" t="s">
        <v>147</v>
      </c>
      <c r="E13" s="8" t="s">
        <v>148</v>
      </c>
      <c r="F13" s="8" t="s">
        <v>149</v>
      </c>
      <c r="G13" s="8" t="s">
        <v>113</v>
      </c>
      <c r="H13" s="8" t="s">
        <v>150</v>
      </c>
      <c r="I13" s="8" t="s">
        <v>151</v>
      </c>
      <c r="J13" s="8" t="s">
        <v>115</v>
      </c>
      <c r="K13" s="8" t="s">
        <v>152</v>
      </c>
      <c r="L13" s="8" t="s">
        <v>153</v>
      </c>
      <c r="M13" s="8" t="s">
        <v>154</v>
      </c>
    </row>
    <row r="14" spans="1:13" ht="43.5" customHeight="1">
      <c r="A14" s="7" t="s">
        <v>144</v>
      </c>
      <c r="B14" s="9" t="s">
        <v>155</v>
      </c>
      <c r="C14" s="8" t="s">
        <v>156</v>
      </c>
      <c r="D14" s="8" t="s">
        <v>157</v>
      </c>
      <c r="E14" s="8" t="s">
        <v>158</v>
      </c>
      <c r="F14" s="8" t="s">
        <v>63</v>
      </c>
      <c r="G14" s="8" t="s">
        <v>64</v>
      </c>
      <c r="H14" s="12" t="s">
        <v>84</v>
      </c>
      <c r="I14" s="8" t="s">
        <v>159</v>
      </c>
      <c r="J14" s="8" t="s">
        <v>47</v>
      </c>
      <c r="K14" s="8" t="s">
        <v>160</v>
      </c>
      <c r="L14" s="8" t="s">
        <v>161</v>
      </c>
      <c r="M14" s="8" t="s">
        <v>162</v>
      </c>
    </row>
    <row r="15" spans="1:13" ht="43.5" customHeight="1">
      <c r="A15" s="7" t="s">
        <v>144</v>
      </c>
      <c r="B15" s="9" t="s">
        <v>163</v>
      </c>
      <c r="C15" s="8" t="s">
        <v>164</v>
      </c>
      <c r="D15" s="8" t="s">
        <v>165</v>
      </c>
      <c r="E15" s="8" t="s">
        <v>166</v>
      </c>
      <c r="F15" s="8" t="s">
        <v>111</v>
      </c>
      <c r="G15" s="8" t="s">
        <v>167</v>
      </c>
      <c r="H15" s="8" t="s">
        <v>150</v>
      </c>
      <c r="I15" s="8" t="s">
        <v>168</v>
      </c>
      <c r="J15" s="8" t="s">
        <v>169</v>
      </c>
      <c r="K15" s="8" t="s">
        <v>170</v>
      </c>
      <c r="L15" s="8" t="s">
        <v>171</v>
      </c>
      <c r="M15" s="8" t="s">
        <v>172</v>
      </c>
    </row>
    <row r="16" spans="1:13" ht="43.5" customHeight="1">
      <c r="A16" s="7" t="s">
        <v>144</v>
      </c>
      <c r="B16" s="9" t="s">
        <v>173</v>
      </c>
      <c r="C16" s="8" t="s">
        <v>174</v>
      </c>
      <c r="D16" s="8" t="s">
        <v>175</v>
      </c>
      <c r="E16" s="8" t="s">
        <v>176</v>
      </c>
      <c r="F16" s="8" t="s">
        <v>177</v>
      </c>
      <c r="G16" s="8" t="s">
        <v>178</v>
      </c>
      <c r="H16" s="8" t="s">
        <v>179</v>
      </c>
      <c r="I16" s="8" t="s">
        <v>180</v>
      </c>
      <c r="J16" s="8" t="s">
        <v>115</v>
      </c>
      <c r="K16" s="8" t="s">
        <v>181</v>
      </c>
      <c r="L16" s="8" t="s">
        <v>182</v>
      </c>
      <c r="M16" s="8" t="s">
        <v>183</v>
      </c>
    </row>
    <row r="17" spans="1:13" ht="43.5" customHeight="1">
      <c r="A17" s="7" t="s">
        <v>184</v>
      </c>
      <c r="B17" s="9" t="s">
        <v>185</v>
      </c>
      <c r="C17" s="8" t="s">
        <v>186</v>
      </c>
      <c r="D17" s="8" t="s">
        <v>187</v>
      </c>
      <c r="E17" s="8" t="s">
        <v>188</v>
      </c>
      <c r="F17" s="8" t="s">
        <v>74</v>
      </c>
      <c r="G17" s="8" t="s">
        <v>64</v>
      </c>
      <c r="H17" s="12" t="s">
        <v>84</v>
      </c>
      <c r="I17" s="8" t="s">
        <v>189</v>
      </c>
      <c r="J17" s="8" t="s">
        <v>47</v>
      </c>
      <c r="K17" s="8" t="s">
        <v>190</v>
      </c>
      <c r="L17" s="8" t="s">
        <v>191</v>
      </c>
      <c r="M17" s="8" t="s">
        <v>192</v>
      </c>
    </row>
    <row r="18" spans="1:13" ht="43.5" customHeight="1">
      <c r="A18" s="7" t="s">
        <v>184</v>
      </c>
      <c r="B18" s="9" t="s">
        <v>193</v>
      </c>
      <c r="C18" s="8" t="s">
        <v>194</v>
      </c>
      <c r="D18" s="8" t="s">
        <v>195</v>
      </c>
      <c r="E18" s="8" t="s">
        <v>121</v>
      </c>
      <c r="F18" s="8" t="s">
        <v>92</v>
      </c>
      <c r="G18" s="8" t="s">
        <v>196</v>
      </c>
      <c r="H18" s="8" t="s">
        <v>197</v>
      </c>
      <c r="I18" s="8" t="s">
        <v>151</v>
      </c>
      <c r="J18" s="8" t="s">
        <v>198</v>
      </c>
      <c r="K18" s="8" t="s">
        <v>199</v>
      </c>
      <c r="L18" s="8" t="s">
        <v>200</v>
      </c>
      <c r="M18" s="8" t="s">
        <v>201</v>
      </c>
    </row>
    <row r="19" spans="1:13" ht="43.5" customHeight="1">
      <c r="A19" s="7" t="s">
        <v>184</v>
      </c>
      <c r="B19" s="9" t="s">
        <v>202</v>
      </c>
      <c r="C19" s="8" t="s">
        <v>203</v>
      </c>
      <c r="D19" s="8" t="s">
        <v>204</v>
      </c>
      <c r="E19" s="8" t="s">
        <v>205</v>
      </c>
      <c r="F19" s="8" t="s">
        <v>122</v>
      </c>
      <c r="G19" s="8" t="s">
        <v>94</v>
      </c>
      <c r="H19" s="12" t="s">
        <v>84</v>
      </c>
      <c r="I19" s="8" t="s">
        <v>206</v>
      </c>
      <c r="J19" s="8" t="s">
        <v>207</v>
      </c>
      <c r="K19" s="8" t="s">
        <v>208</v>
      </c>
      <c r="L19" s="8" t="s">
        <v>209</v>
      </c>
      <c r="M19" s="8" t="s">
        <v>210</v>
      </c>
    </row>
    <row r="20" spans="1:13" ht="43.5" customHeight="1">
      <c r="A20" s="7" t="s">
        <v>184</v>
      </c>
      <c r="B20" s="9" t="s">
        <v>211</v>
      </c>
      <c r="C20" s="8" t="s">
        <v>212</v>
      </c>
      <c r="D20" s="8" t="s">
        <v>213</v>
      </c>
      <c r="E20" s="8" t="s">
        <v>214</v>
      </c>
      <c r="F20" s="8" t="s">
        <v>92</v>
      </c>
      <c r="G20" s="8" t="s">
        <v>45</v>
      </c>
      <c r="H20" s="12" t="s">
        <v>84</v>
      </c>
      <c r="I20" s="8" t="s">
        <v>95</v>
      </c>
      <c r="J20" s="8" t="s">
        <v>215</v>
      </c>
      <c r="K20" s="8" t="s">
        <v>216</v>
      </c>
      <c r="L20" s="8" t="s">
        <v>217</v>
      </c>
      <c r="M20" s="8" t="s">
        <v>218</v>
      </c>
    </row>
    <row r="21" spans="1:13" ht="43.5" customHeight="1">
      <c r="A21" s="10" t="s">
        <v>219</v>
      </c>
      <c r="B21" s="11" t="s">
        <v>220</v>
      </c>
      <c r="C21" s="8" t="s">
        <v>221</v>
      </c>
      <c r="D21" s="12" t="s">
        <v>222</v>
      </c>
      <c r="E21" s="8" t="s">
        <v>223</v>
      </c>
      <c r="F21" s="8" t="s">
        <v>74</v>
      </c>
      <c r="G21" s="8" t="s">
        <v>139</v>
      </c>
      <c r="H21" s="8" t="s">
        <v>224</v>
      </c>
      <c r="I21" s="12" t="s">
        <v>84</v>
      </c>
      <c r="J21" s="8" t="s">
        <v>141</v>
      </c>
      <c r="K21" s="8" t="s">
        <v>225</v>
      </c>
      <c r="L21" s="8" t="s">
        <v>226</v>
      </c>
      <c r="M21" s="8" t="s">
        <v>87</v>
      </c>
    </row>
    <row r="22" spans="1:13" ht="43.5" customHeight="1">
      <c r="A22" s="10" t="s">
        <v>219</v>
      </c>
      <c r="B22" s="11" t="s">
        <v>227</v>
      </c>
      <c r="C22" s="8" t="s">
        <v>228</v>
      </c>
      <c r="D22" s="12" t="s">
        <v>229</v>
      </c>
      <c r="E22" s="8" t="s">
        <v>62</v>
      </c>
      <c r="F22" s="8" t="s">
        <v>122</v>
      </c>
      <c r="G22" s="8" t="s">
        <v>230</v>
      </c>
      <c r="H22" s="8" t="s">
        <v>231</v>
      </c>
      <c r="I22" s="8" t="s">
        <v>232</v>
      </c>
      <c r="J22" s="12" t="s">
        <v>84</v>
      </c>
      <c r="K22" s="8" t="s">
        <v>233</v>
      </c>
      <c r="L22" s="8" t="s">
        <v>234</v>
      </c>
      <c r="M22" s="8" t="s">
        <v>235</v>
      </c>
    </row>
    <row r="23" spans="1:13" ht="43.5" customHeight="1">
      <c r="A23" s="10" t="s">
        <v>219</v>
      </c>
      <c r="B23" s="11" t="s">
        <v>236</v>
      </c>
      <c r="C23" s="8" t="s">
        <v>237</v>
      </c>
      <c r="D23" s="8" t="s">
        <v>238</v>
      </c>
      <c r="E23" s="8" t="s">
        <v>239</v>
      </c>
      <c r="F23" s="8" t="s">
        <v>240</v>
      </c>
      <c r="G23" s="8" t="s">
        <v>241</v>
      </c>
      <c r="H23" s="8" t="s">
        <v>197</v>
      </c>
      <c r="I23" s="12" t="s">
        <v>84</v>
      </c>
      <c r="J23" s="8" t="s">
        <v>242</v>
      </c>
      <c r="K23" s="8" t="s">
        <v>243</v>
      </c>
      <c r="L23" s="8" t="s">
        <v>244</v>
      </c>
      <c r="M23" s="8" t="s">
        <v>245</v>
      </c>
    </row>
  </sheetData>
  <autoFilter ref="A1:M23" xr:uid="{00000000-0009-0000-0000-000002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3"/>
  <sheetViews>
    <sheetView zoomScaleNormal="100" workbookViewId="0">
      <pane ySplit="1" topLeftCell="A2" activePane="bottomLeft" state="frozen"/>
      <selection pane="bottomLeft"/>
    </sheetView>
  </sheetViews>
  <sheetFormatPr defaultColWidth="8.7109375" defaultRowHeight="15"/>
  <cols>
    <col min="1" max="1" width="9" customWidth="1"/>
    <col min="2" max="2" width="24" customWidth="1"/>
    <col min="3" max="3" width="13" customWidth="1"/>
    <col min="4" max="5" width="42" customWidth="1"/>
    <col min="6" max="7" width="72" customWidth="1"/>
    <col min="8" max="8" width="16" customWidth="1"/>
    <col min="9" max="11" width="45" customWidth="1"/>
    <col min="12" max="13" width="42" customWidth="1"/>
    <col min="14" max="14" width="30" customWidth="1"/>
    <col min="15" max="15" width="72" customWidth="1"/>
    <col min="16" max="16" width="15" customWidth="1"/>
  </cols>
  <sheetData>
    <row r="1" spans="1:16" ht="39.75" customHeight="1">
      <c r="A1" s="4" t="s">
        <v>25</v>
      </c>
      <c r="B1" s="4" t="s">
        <v>246</v>
      </c>
      <c r="C1" s="4" t="s">
        <v>26</v>
      </c>
      <c r="D1" s="4" t="s">
        <v>27</v>
      </c>
      <c r="E1" s="4" t="s">
        <v>247</v>
      </c>
      <c r="F1" s="4" t="s">
        <v>248</v>
      </c>
      <c r="G1" s="4" t="s">
        <v>249</v>
      </c>
      <c r="H1" s="4" t="s">
        <v>250</v>
      </c>
      <c r="I1" s="4" t="s">
        <v>251</v>
      </c>
      <c r="J1" s="4" t="s">
        <v>252</v>
      </c>
      <c r="K1" s="4" t="s">
        <v>253</v>
      </c>
      <c r="L1" s="4" t="s">
        <v>254</v>
      </c>
      <c r="M1" s="4" t="s">
        <v>255</v>
      </c>
      <c r="N1" s="4" t="s">
        <v>256</v>
      </c>
      <c r="O1" s="4" t="s">
        <v>257</v>
      </c>
      <c r="P1" s="4" t="s">
        <v>258</v>
      </c>
    </row>
    <row r="2" spans="1:16" ht="79.5" customHeight="1">
      <c r="A2" s="7" t="s">
        <v>38</v>
      </c>
      <c r="B2" s="8" t="s">
        <v>259</v>
      </c>
      <c r="C2" s="9" t="s">
        <v>39</v>
      </c>
      <c r="D2" s="8" t="s">
        <v>40</v>
      </c>
      <c r="E2" s="8" t="s">
        <v>260</v>
      </c>
      <c r="F2" s="8" t="s">
        <v>261</v>
      </c>
      <c r="G2" s="8" t="s">
        <v>262</v>
      </c>
      <c r="H2" s="7" t="s">
        <v>263</v>
      </c>
      <c r="I2" s="8" t="s">
        <v>264</v>
      </c>
      <c r="J2" s="8" t="s">
        <v>265</v>
      </c>
      <c r="K2" s="8" t="s">
        <v>266</v>
      </c>
      <c r="L2" s="8" t="s">
        <v>267</v>
      </c>
      <c r="M2" s="8" t="s">
        <v>268</v>
      </c>
      <c r="N2" s="8" t="s">
        <v>269</v>
      </c>
      <c r="O2" s="8" t="s">
        <v>270</v>
      </c>
      <c r="P2" s="8" t="s">
        <v>271</v>
      </c>
    </row>
    <row r="3" spans="1:16" ht="79.5" customHeight="1">
      <c r="A3" s="7" t="s">
        <v>38</v>
      </c>
      <c r="B3" s="8" t="s">
        <v>259</v>
      </c>
      <c r="C3" s="9" t="s">
        <v>51</v>
      </c>
      <c r="D3" s="8" t="s">
        <v>52</v>
      </c>
      <c r="E3" s="8" t="s">
        <v>272</v>
      </c>
      <c r="F3" s="8" t="s">
        <v>273</v>
      </c>
      <c r="G3" s="8" t="s">
        <v>274</v>
      </c>
      <c r="H3" s="7" t="s">
        <v>263</v>
      </c>
      <c r="I3" s="8" t="s">
        <v>275</v>
      </c>
      <c r="J3" s="8" t="s">
        <v>276</v>
      </c>
      <c r="K3" s="8" t="s">
        <v>277</v>
      </c>
      <c r="L3" s="8" t="s">
        <v>278</v>
      </c>
      <c r="M3" s="8" t="s">
        <v>279</v>
      </c>
      <c r="N3" s="8" t="s">
        <v>280</v>
      </c>
      <c r="O3" s="8" t="s">
        <v>281</v>
      </c>
      <c r="P3" s="8" t="s">
        <v>282</v>
      </c>
    </row>
    <row r="4" spans="1:16" ht="79.5" customHeight="1">
      <c r="A4" s="7" t="s">
        <v>38</v>
      </c>
      <c r="B4" s="8" t="s">
        <v>259</v>
      </c>
      <c r="C4" s="9" t="s">
        <v>59</v>
      </c>
      <c r="D4" s="8" t="s">
        <v>60</v>
      </c>
      <c r="E4" s="8" t="s">
        <v>283</v>
      </c>
      <c r="F4" s="8" t="s">
        <v>284</v>
      </c>
      <c r="G4" s="8" t="s">
        <v>285</v>
      </c>
      <c r="H4" s="7" t="s">
        <v>286</v>
      </c>
      <c r="I4" s="8" t="s">
        <v>287</v>
      </c>
      <c r="J4" s="8" t="s">
        <v>288</v>
      </c>
      <c r="K4" s="8" t="s">
        <v>289</v>
      </c>
      <c r="L4" s="8" t="s">
        <v>290</v>
      </c>
      <c r="M4" s="8" t="s">
        <v>291</v>
      </c>
      <c r="N4" s="8" t="s">
        <v>292</v>
      </c>
      <c r="O4" s="8" t="s">
        <v>293</v>
      </c>
      <c r="P4" s="8" t="s">
        <v>294</v>
      </c>
    </row>
    <row r="5" spans="1:16" ht="79.5" customHeight="1">
      <c r="A5" s="7" t="s">
        <v>38</v>
      </c>
      <c r="B5" s="8" t="s">
        <v>259</v>
      </c>
      <c r="C5" s="9" t="s">
        <v>70</v>
      </c>
      <c r="D5" s="8" t="s">
        <v>71</v>
      </c>
      <c r="E5" s="8" t="s">
        <v>295</v>
      </c>
      <c r="F5" s="8" t="s">
        <v>296</v>
      </c>
      <c r="G5" s="8" t="s">
        <v>297</v>
      </c>
      <c r="H5" s="7" t="s">
        <v>298</v>
      </c>
      <c r="I5" s="8" t="s">
        <v>299</v>
      </c>
      <c r="J5" s="8" t="s">
        <v>300</v>
      </c>
      <c r="K5" s="8" t="s">
        <v>301</v>
      </c>
      <c r="L5" s="8" t="s">
        <v>302</v>
      </c>
      <c r="M5" s="8" t="s">
        <v>303</v>
      </c>
      <c r="N5" s="8" t="s">
        <v>304</v>
      </c>
      <c r="O5" s="8" t="s">
        <v>305</v>
      </c>
      <c r="P5" s="8" t="s">
        <v>306</v>
      </c>
    </row>
    <row r="6" spans="1:16" ht="79.5" customHeight="1">
      <c r="A6" s="7" t="s">
        <v>38</v>
      </c>
      <c r="B6" s="8" t="s">
        <v>259</v>
      </c>
      <c r="C6" s="9" t="s">
        <v>80</v>
      </c>
      <c r="D6" s="8" t="s">
        <v>81</v>
      </c>
      <c r="E6" s="8" t="s">
        <v>307</v>
      </c>
      <c r="F6" s="8" t="s">
        <v>308</v>
      </c>
      <c r="G6" s="8" t="s">
        <v>309</v>
      </c>
      <c r="H6" s="7" t="s">
        <v>263</v>
      </c>
      <c r="I6" s="8" t="s">
        <v>310</v>
      </c>
      <c r="J6" s="8" t="s">
        <v>311</v>
      </c>
      <c r="K6" s="8" t="s">
        <v>312</v>
      </c>
      <c r="L6" s="8" t="s">
        <v>313</v>
      </c>
      <c r="M6" s="8" t="s">
        <v>314</v>
      </c>
      <c r="N6" s="8" t="s">
        <v>315</v>
      </c>
      <c r="O6" s="8" t="s">
        <v>316</v>
      </c>
      <c r="P6" s="8" t="s">
        <v>317</v>
      </c>
    </row>
    <row r="7" spans="1:16" ht="79.5" customHeight="1">
      <c r="A7" s="7" t="s">
        <v>38</v>
      </c>
      <c r="B7" s="8" t="s">
        <v>259</v>
      </c>
      <c r="C7" s="9" t="s">
        <v>88</v>
      </c>
      <c r="D7" s="8" t="s">
        <v>89</v>
      </c>
      <c r="E7" s="8" t="s">
        <v>318</v>
      </c>
      <c r="F7" s="8" t="s">
        <v>319</v>
      </c>
      <c r="G7" s="8" t="s">
        <v>320</v>
      </c>
      <c r="H7" s="7" t="s">
        <v>321</v>
      </c>
      <c r="I7" s="8" t="s">
        <v>322</v>
      </c>
      <c r="J7" s="8" t="s">
        <v>323</v>
      </c>
      <c r="K7" s="8" t="s">
        <v>324</v>
      </c>
      <c r="L7" s="8" t="s">
        <v>325</v>
      </c>
      <c r="M7" s="8" t="s">
        <v>326</v>
      </c>
      <c r="N7" s="8" t="s">
        <v>327</v>
      </c>
      <c r="O7" s="8" t="s">
        <v>328</v>
      </c>
      <c r="P7" s="8" t="s">
        <v>329</v>
      </c>
    </row>
    <row r="8" spans="1:16" ht="79.5" customHeight="1">
      <c r="A8" s="7" t="s">
        <v>38</v>
      </c>
      <c r="B8" s="8" t="s">
        <v>259</v>
      </c>
      <c r="C8" s="9" t="s">
        <v>99</v>
      </c>
      <c r="D8" s="8" t="s">
        <v>100</v>
      </c>
      <c r="E8" s="8" t="s">
        <v>330</v>
      </c>
      <c r="F8" s="8" t="s">
        <v>331</v>
      </c>
      <c r="G8" s="8" t="s">
        <v>332</v>
      </c>
      <c r="H8" s="7" t="s">
        <v>263</v>
      </c>
      <c r="I8" s="8" t="s">
        <v>333</v>
      </c>
      <c r="J8" s="8" t="s">
        <v>334</v>
      </c>
      <c r="K8" s="8" t="s">
        <v>335</v>
      </c>
      <c r="L8" s="8" t="s">
        <v>336</v>
      </c>
      <c r="M8" s="8" t="s">
        <v>337</v>
      </c>
      <c r="N8" s="8" t="s">
        <v>338</v>
      </c>
      <c r="O8" s="8" t="s">
        <v>339</v>
      </c>
      <c r="P8" s="8" t="s">
        <v>340</v>
      </c>
    </row>
    <row r="9" spans="1:16" ht="79.5" customHeight="1">
      <c r="A9" s="7" t="s">
        <v>106</v>
      </c>
      <c r="B9" s="8" t="s">
        <v>341</v>
      </c>
      <c r="C9" s="9" t="s">
        <v>107</v>
      </c>
      <c r="D9" s="8" t="s">
        <v>108</v>
      </c>
      <c r="E9" s="8" t="s">
        <v>342</v>
      </c>
      <c r="F9" s="8" t="s">
        <v>343</v>
      </c>
      <c r="G9" s="8" t="s">
        <v>344</v>
      </c>
      <c r="H9" s="7" t="s">
        <v>345</v>
      </c>
      <c r="I9" s="8" t="s">
        <v>346</v>
      </c>
      <c r="J9" s="8" t="s">
        <v>347</v>
      </c>
      <c r="K9" s="8" t="s">
        <v>348</v>
      </c>
      <c r="L9" s="8" t="s">
        <v>349</v>
      </c>
      <c r="M9" s="8" t="s">
        <v>350</v>
      </c>
      <c r="N9" s="8" t="s">
        <v>351</v>
      </c>
      <c r="O9" s="8" t="s">
        <v>352</v>
      </c>
      <c r="P9" s="8" t="s">
        <v>353</v>
      </c>
    </row>
    <row r="10" spans="1:16" ht="79.5" customHeight="1">
      <c r="A10" s="7" t="s">
        <v>106</v>
      </c>
      <c r="B10" s="8" t="s">
        <v>341</v>
      </c>
      <c r="C10" s="9" t="s">
        <v>118</v>
      </c>
      <c r="D10" s="8" t="s">
        <v>119</v>
      </c>
      <c r="E10" s="8" t="s">
        <v>354</v>
      </c>
      <c r="F10" s="8" t="s">
        <v>355</v>
      </c>
      <c r="G10" s="8" t="s">
        <v>356</v>
      </c>
      <c r="H10" s="7" t="s">
        <v>357</v>
      </c>
      <c r="I10" s="8" t="s">
        <v>358</v>
      </c>
      <c r="J10" s="8" t="s">
        <v>359</v>
      </c>
      <c r="K10" s="8" t="s">
        <v>360</v>
      </c>
      <c r="L10" s="8" t="s">
        <v>361</v>
      </c>
      <c r="M10" s="8" t="s">
        <v>362</v>
      </c>
      <c r="N10" s="8" t="s">
        <v>363</v>
      </c>
      <c r="O10" s="8" t="s">
        <v>364</v>
      </c>
      <c r="P10" s="8" t="s">
        <v>365</v>
      </c>
    </row>
    <row r="11" spans="1:16" ht="79.5" customHeight="1">
      <c r="A11" s="7" t="s">
        <v>106</v>
      </c>
      <c r="B11" s="8" t="s">
        <v>341</v>
      </c>
      <c r="C11" s="9" t="s">
        <v>127</v>
      </c>
      <c r="D11" s="8" t="s">
        <v>128</v>
      </c>
      <c r="E11" s="8" t="s">
        <v>366</v>
      </c>
      <c r="F11" s="8" t="s">
        <v>367</v>
      </c>
      <c r="G11" s="8" t="s">
        <v>368</v>
      </c>
      <c r="H11" s="7" t="s">
        <v>263</v>
      </c>
      <c r="I11" s="8" t="s">
        <v>369</v>
      </c>
      <c r="J11" s="8" t="s">
        <v>370</v>
      </c>
      <c r="K11" s="8" t="s">
        <v>371</v>
      </c>
      <c r="L11" s="8" t="s">
        <v>372</v>
      </c>
      <c r="M11" s="8" t="s">
        <v>373</v>
      </c>
      <c r="N11" s="8" t="s">
        <v>374</v>
      </c>
      <c r="O11" s="8" t="s">
        <v>375</v>
      </c>
      <c r="P11" s="8" t="s">
        <v>376</v>
      </c>
    </row>
    <row r="12" spans="1:16" ht="79.5" customHeight="1">
      <c r="A12" s="7" t="s">
        <v>106</v>
      </c>
      <c r="B12" s="8" t="s">
        <v>341</v>
      </c>
      <c r="C12" s="9" t="s">
        <v>135</v>
      </c>
      <c r="D12" s="8" t="s">
        <v>136</v>
      </c>
      <c r="E12" s="8" t="s">
        <v>377</v>
      </c>
      <c r="F12" s="8" t="s">
        <v>378</v>
      </c>
      <c r="G12" s="8" t="s">
        <v>379</v>
      </c>
      <c r="H12" s="7" t="s">
        <v>380</v>
      </c>
      <c r="I12" s="8" t="s">
        <v>381</v>
      </c>
      <c r="J12" s="8" t="s">
        <v>382</v>
      </c>
      <c r="K12" s="8" t="s">
        <v>383</v>
      </c>
      <c r="L12" s="8" t="s">
        <v>384</v>
      </c>
      <c r="M12" s="8" t="s">
        <v>385</v>
      </c>
      <c r="N12" s="8" t="s">
        <v>386</v>
      </c>
      <c r="O12" s="8" t="s">
        <v>387</v>
      </c>
      <c r="P12" s="8" t="s">
        <v>388</v>
      </c>
    </row>
    <row r="13" spans="1:16" ht="79.5" customHeight="1">
      <c r="A13" s="7" t="s">
        <v>144</v>
      </c>
      <c r="B13" s="8" t="s">
        <v>389</v>
      </c>
      <c r="C13" s="9" t="s">
        <v>145</v>
      </c>
      <c r="D13" s="8" t="s">
        <v>146</v>
      </c>
      <c r="E13" s="8" t="s">
        <v>390</v>
      </c>
      <c r="F13" s="8" t="s">
        <v>391</v>
      </c>
      <c r="G13" s="8" t="s">
        <v>392</v>
      </c>
      <c r="H13" s="7" t="s">
        <v>393</v>
      </c>
      <c r="I13" s="8" t="s">
        <v>394</v>
      </c>
      <c r="J13" s="8" t="s">
        <v>395</v>
      </c>
      <c r="K13" s="8" t="s">
        <v>396</v>
      </c>
      <c r="L13" s="8" t="s">
        <v>397</v>
      </c>
      <c r="M13" s="8" t="s">
        <v>398</v>
      </c>
      <c r="N13" s="8" t="s">
        <v>399</v>
      </c>
      <c r="O13" s="8" t="s">
        <v>400</v>
      </c>
      <c r="P13" s="8" t="s">
        <v>401</v>
      </c>
    </row>
    <row r="14" spans="1:16" ht="79.5" customHeight="1">
      <c r="A14" s="7" t="s">
        <v>144</v>
      </c>
      <c r="B14" s="8" t="s">
        <v>389</v>
      </c>
      <c r="C14" s="9" t="s">
        <v>155</v>
      </c>
      <c r="D14" s="8" t="s">
        <v>156</v>
      </c>
      <c r="E14" s="8" t="s">
        <v>402</v>
      </c>
      <c r="F14" s="8" t="s">
        <v>403</v>
      </c>
      <c r="G14" s="8" t="s">
        <v>404</v>
      </c>
      <c r="H14" s="7" t="s">
        <v>405</v>
      </c>
      <c r="I14" s="8" t="s">
        <v>406</v>
      </c>
      <c r="J14" s="8" t="s">
        <v>407</v>
      </c>
      <c r="K14" s="8" t="s">
        <v>408</v>
      </c>
      <c r="L14" s="8" t="s">
        <v>409</v>
      </c>
      <c r="M14" s="8" t="s">
        <v>410</v>
      </c>
      <c r="N14" s="8" t="s">
        <v>411</v>
      </c>
      <c r="O14" s="8" t="s">
        <v>412</v>
      </c>
      <c r="P14" s="8" t="s">
        <v>413</v>
      </c>
    </row>
    <row r="15" spans="1:16" ht="79.5" customHeight="1">
      <c r="A15" s="7" t="s">
        <v>144</v>
      </c>
      <c r="B15" s="8" t="s">
        <v>389</v>
      </c>
      <c r="C15" s="9" t="s">
        <v>163</v>
      </c>
      <c r="D15" s="8" t="s">
        <v>164</v>
      </c>
      <c r="E15" s="8" t="s">
        <v>414</v>
      </c>
      <c r="F15" s="8" t="s">
        <v>415</v>
      </c>
      <c r="G15" s="8" t="s">
        <v>416</v>
      </c>
      <c r="H15" s="7" t="s">
        <v>263</v>
      </c>
      <c r="I15" s="8" t="s">
        <v>417</v>
      </c>
      <c r="J15" s="8" t="s">
        <v>418</v>
      </c>
      <c r="K15" s="8" t="s">
        <v>419</v>
      </c>
      <c r="L15" s="8" t="s">
        <v>420</v>
      </c>
      <c r="M15" s="8" t="s">
        <v>421</v>
      </c>
      <c r="N15" s="8" t="s">
        <v>422</v>
      </c>
      <c r="O15" s="8" t="s">
        <v>423</v>
      </c>
      <c r="P15" s="8" t="s">
        <v>424</v>
      </c>
    </row>
    <row r="16" spans="1:16" ht="79.5" customHeight="1">
      <c r="A16" s="7" t="s">
        <v>144</v>
      </c>
      <c r="B16" s="8" t="s">
        <v>389</v>
      </c>
      <c r="C16" s="9" t="s">
        <v>173</v>
      </c>
      <c r="D16" s="8" t="s">
        <v>174</v>
      </c>
      <c r="E16" s="8" t="s">
        <v>425</v>
      </c>
      <c r="F16" s="8" t="s">
        <v>426</v>
      </c>
      <c r="G16" s="8" t="s">
        <v>427</v>
      </c>
      <c r="H16" s="7" t="s">
        <v>428</v>
      </c>
      <c r="I16" s="8" t="s">
        <v>429</v>
      </c>
      <c r="J16" s="8" t="s">
        <v>430</v>
      </c>
      <c r="K16" s="8" t="s">
        <v>431</v>
      </c>
      <c r="L16" s="8" t="s">
        <v>432</v>
      </c>
      <c r="M16" s="8" t="s">
        <v>433</v>
      </c>
      <c r="N16" s="8" t="s">
        <v>434</v>
      </c>
      <c r="O16" s="8" t="s">
        <v>435</v>
      </c>
      <c r="P16" s="8" t="s">
        <v>436</v>
      </c>
    </row>
    <row r="17" spans="1:16" ht="79.5" customHeight="1">
      <c r="A17" s="7" t="s">
        <v>184</v>
      </c>
      <c r="B17" s="8" t="s">
        <v>437</v>
      </c>
      <c r="C17" s="9" t="s">
        <v>185</v>
      </c>
      <c r="D17" s="8" t="s">
        <v>186</v>
      </c>
      <c r="E17" s="8" t="s">
        <v>438</v>
      </c>
      <c r="F17" s="8" t="s">
        <v>439</v>
      </c>
      <c r="G17" s="8" t="s">
        <v>440</v>
      </c>
      <c r="H17" s="7" t="s">
        <v>321</v>
      </c>
      <c r="I17" s="8" t="s">
        <v>441</v>
      </c>
      <c r="J17" s="8" t="s">
        <v>442</v>
      </c>
      <c r="K17" s="8" t="s">
        <v>443</v>
      </c>
      <c r="L17" s="8" t="s">
        <v>444</v>
      </c>
      <c r="M17" s="8" t="s">
        <v>445</v>
      </c>
      <c r="N17" s="8" t="s">
        <v>446</v>
      </c>
      <c r="O17" s="8" t="s">
        <v>447</v>
      </c>
      <c r="P17" s="8" t="s">
        <v>448</v>
      </c>
    </row>
    <row r="18" spans="1:16" ht="79.5" customHeight="1">
      <c r="A18" s="7" t="s">
        <v>184</v>
      </c>
      <c r="B18" s="8" t="s">
        <v>437</v>
      </c>
      <c r="C18" s="9" t="s">
        <v>193</v>
      </c>
      <c r="D18" s="8" t="s">
        <v>194</v>
      </c>
      <c r="E18" s="8" t="s">
        <v>449</v>
      </c>
      <c r="F18" s="8" t="s">
        <v>450</v>
      </c>
      <c r="G18" s="8" t="s">
        <v>451</v>
      </c>
      <c r="H18" s="7" t="s">
        <v>452</v>
      </c>
      <c r="I18" s="8" t="s">
        <v>453</v>
      </c>
      <c r="J18" s="8" t="s">
        <v>454</v>
      </c>
      <c r="K18" s="8" t="s">
        <v>455</v>
      </c>
      <c r="L18" s="8" t="s">
        <v>456</v>
      </c>
      <c r="M18" s="8" t="s">
        <v>457</v>
      </c>
      <c r="N18" s="8" t="s">
        <v>458</v>
      </c>
      <c r="O18" s="8" t="s">
        <v>459</v>
      </c>
      <c r="P18" s="8" t="s">
        <v>460</v>
      </c>
    </row>
    <row r="19" spans="1:16" ht="79.5" customHeight="1">
      <c r="A19" s="7" t="s">
        <v>184</v>
      </c>
      <c r="B19" s="8" t="s">
        <v>437</v>
      </c>
      <c r="C19" s="9" t="s">
        <v>202</v>
      </c>
      <c r="D19" s="8" t="s">
        <v>203</v>
      </c>
      <c r="E19" s="8" t="s">
        <v>461</v>
      </c>
      <c r="F19" s="8" t="s">
        <v>462</v>
      </c>
      <c r="G19" s="8" t="s">
        <v>463</v>
      </c>
      <c r="H19" s="7" t="s">
        <v>380</v>
      </c>
      <c r="I19" s="8" t="s">
        <v>464</v>
      </c>
      <c r="J19" s="8" t="s">
        <v>465</v>
      </c>
      <c r="K19" s="8" t="s">
        <v>466</v>
      </c>
      <c r="L19" s="8" t="s">
        <v>467</v>
      </c>
      <c r="M19" s="8" t="s">
        <v>468</v>
      </c>
      <c r="N19" s="8" t="s">
        <v>469</v>
      </c>
      <c r="O19" s="8" t="s">
        <v>470</v>
      </c>
      <c r="P19" s="8" t="s">
        <v>471</v>
      </c>
    </row>
    <row r="20" spans="1:16" ht="79.5" customHeight="1">
      <c r="A20" s="7" t="s">
        <v>184</v>
      </c>
      <c r="B20" s="8" t="s">
        <v>437</v>
      </c>
      <c r="C20" s="9" t="s">
        <v>211</v>
      </c>
      <c r="D20" s="8" t="s">
        <v>212</v>
      </c>
      <c r="E20" s="8" t="s">
        <v>472</v>
      </c>
      <c r="F20" s="8" t="s">
        <v>473</v>
      </c>
      <c r="G20" s="8" t="s">
        <v>474</v>
      </c>
      <c r="H20" s="7" t="s">
        <v>475</v>
      </c>
      <c r="I20" s="8" t="s">
        <v>476</v>
      </c>
      <c r="J20" s="8" t="s">
        <v>477</v>
      </c>
      <c r="K20" s="8" t="s">
        <v>478</v>
      </c>
      <c r="L20" s="8" t="s">
        <v>479</v>
      </c>
      <c r="M20" s="8" t="s">
        <v>480</v>
      </c>
      <c r="N20" s="8" t="s">
        <v>481</v>
      </c>
      <c r="O20" s="8" t="s">
        <v>482</v>
      </c>
      <c r="P20" s="8" t="s">
        <v>483</v>
      </c>
    </row>
    <row r="21" spans="1:16" ht="79.5" customHeight="1">
      <c r="A21" s="10" t="s">
        <v>219</v>
      </c>
      <c r="B21" s="8" t="s">
        <v>484</v>
      </c>
      <c r="C21" s="11" t="s">
        <v>220</v>
      </c>
      <c r="D21" s="8" t="s">
        <v>221</v>
      </c>
      <c r="E21" s="8" t="s">
        <v>485</v>
      </c>
      <c r="F21" s="8" t="s">
        <v>486</v>
      </c>
      <c r="G21" s="8" t="s">
        <v>487</v>
      </c>
      <c r="H21" s="10" t="s">
        <v>488</v>
      </c>
      <c r="I21" s="8" t="s">
        <v>489</v>
      </c>
      <c r="J21" s="8" t="s">
        <v>490</v>
      </c>
      <c r="K21" s="8" t="s">
        <v>491</v>
      </c>
      <c r="L21" s="8" t="s">
        <v>492</v>
      </c>
      <c r="M21" s="8" t="s">
        <v>493</v>
      </c>
      <c r="N21" s="8" t="s">
        <v>494</v>
      </c>
      <c r="O21" s="8" t="s">
        <v>495</v>
      </c>
      <c r="P21" s="8" t="s">
        <v>496</v>
      </c>
    </row>
    <row r="22" spans="1:16" ht="79.5" customHeight="1">
      <c r="A22" s="10" t="s">
        <v>219</v>
      </c>
      <c r="B22" s="8" t="s">
        <v>484</v>
      </c>
      <c r="C22" s="11" t="s">
        <v>227</v>
      </c>
      <c r="D22" s="8" t="s">
        <v>228</v>
      </c>
      <c r="E22" s="8" t="s">
        <v>497</v>
      </c>
      <c r="F22" s="8" t="s">
        <v>498</v>
      </c>
      <c r="G22" s="8" t="s">
        <v>499</v>
      </c>
      <c r="H22" s="10" t="s">
        <v>452</v>
      </c>
      <c r="I22" s="8" t="s">
        <v>500</v>
      </c>
      <c r="J22" s="8" t="s">
        <v>501</v>
      </c>
      <c r="K22" s="8" t="s">
        <v>502</v>
      </c>
      <c r="L22" s="8" t="s">
        <v>503</v>
      </c>
      <c r="M22" s="8" t="s">
        <v>504</v>
      </c>
      <c r="N22" s="8" t="s">
        <v>505</v>
      </c>
      <c r="O22" s="8" t="s">
        <v>506</v>
      </c>
      <c r="P22" s="8" t="s">
        <v>507</v>
      </c>
    </row>
    <row r="23" spans="1:16" ht="79.5" customHeight="1">
      <c r="A23" s="10" t="s">
        <v>219</v>
      </c>
      <c r="B23" s="8" t="s">
        <v>484</v>
      </c>
      <c r="C23" s="11" t="s">
        <v>236</v>
      </c>
      <c r="D23" s="8" t="s">
        <v>237</v>
      </c>
      <c r="E23" s="8" t="s">
        <v>508</v>
      </c>
      <c r="F23" s="8" t="s">
        <v>509</v>
      </c>
      <c r="G23" s="8" t="s">
        <v>510</v>
      </c>
      <c r="H23" s="10" t="s">
        <v>263</v>
      </c>
      <c r="I23" s="8" t="s">
        <v>511</v>
      </c>
      <c r="J23" s="8" t="s">
        <v>512</v>
      </c>
      <c r="K23" s="8" t="s">
        <v>513</v>
      </c>
      <c r="L23" s="8" t="s">
        <v>514</v>
      </c>
      <c r="M23" s="8" t="s">
        <v>515</v>
      </c>
      <c r="N23" s="8" t="s">
        <v>516</v>
      </c>
      <c r="O23" s="8" t="s">
        <v>517</v>
      </c>
      <c r="P23" s="8" t="s">
        <v>518</v>
      </c>
    </row>
  </sheetData>
  <autoFilter ref="A1:P23" xr:uid="{00000000-0009-0000-0000-000001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5"/>
  <sheetViews>
    <sheetView zoomScaleNormal="100" workbookViewId="0">
      <pane ySplit="1" topLeftCell="A16" activePane="bottomLeft" state="frozen"/>
      <selection pane="bottomLeft"/>
    </sheetView>
  </sheetViews>
  <sheetFormatPr defaultColWidth="8.7109375" defaultRowHeight="15"/>
  <cols>
    <col min="1" max="1" width="20" customWidth="1"/>
    <col min="2" max="2" width="13" customWidth="1"/>
    <col min="3" max="3" width="40" customWidth="1"/>
    <col min="4" max="4" width="9" customWidth="1"/>
    <col min="5" max="5" width="26" customWidth="1"/>
    <col min="6" max="7" width="78" customWidth="1"/>
    <col min="8" max="8" width="34" customWidth="1"/>
    <col min="9" max="9" width="20" customWidth="1"/>
    <col min="10" max="10" width="32" customWidth="1"/>
  </cols>
  <sheetData>
    <row r="1" spans="1:10" ht="33.75" customHeight="1">
      <c r="A1" s="4" t="s">
        <v>519</v>
      </c>
      <c r="B1" s="4" t="s">
        <v>26</v>
      </c>
      <c r="C1" s="4" t="s">
        <v>27</v>
      </c>
      <c r="D1" s="4" t="s">
        <v>520</v>
      </c>
      <c r="E1" s="4" t="s">
        <v>521</v>
      </c>
      <c r="F1" s="4" t="s">
        <v>522</v>
      </c>
      <c r="G1" s="4" t="s">
        <v>523</v>
      </c>
      <c r="H1" s="4" t="s">
        <v>524</v>
      </c>
      <c r="I1" s="4" t="s">
        <v>525</v>
      </c>
      <c r="J1" s="4" t="s">
        <v>526</v>
      </c>
    </row>
    <row r="2" spans="1:10" ht="45.75" customHeight="1">
      <c r="A2" s="9" t="s">
        <v>527</v>
      </c>
      <c r="B2" s="13" t="s">
        <v>39</v>
      </c>
      <c r="C2" s="8" t="s">
        <v>40</v>
      </c>
      <c r="D2" s="8" t="s">
        <v>528</v>
      </c>
      <c r="E2" s="8" t="s">
        <v>529</v>
      </c>
      <c r="F2" s="8" t="s">
        <v>530</v>
      </c>
      <c r="G2" s="8" t="s">
        <v>531</v>
      </c>
      <c r="H2" s="8" t="s">
        <v>532</v>
      </c>
      <c r="I2" s="8"/>
      <c r="J2" s="8"/>
    </row>
    <row r="3" spans="1:10" ht="45.75" customHeight="1">
      <c r="A3" s="9" t="s">
        <v>533</v>
      </c>
      <c r="B3" s="13" t="s">
        <v>39</v>
      </c>
      <c r="C3" s="8" t="s">
        <v>40</v>
      </c>
      <c r="D3" s="8" t="s">
        <v>534</v>
      </c>
      <c r="E3" s="8" t="s">
        <v>535</v>
      </c>
      <c r="F3" s="8" t="s">
        <v>536</v>
      </c>
      <c r="G3" s="8" t="s">
        <v>537</v>
      </c>
      <c r="H3" s="8" t="s">
        <v>538</v>
      </c>
      <c r="I3" s="8"/>
      <c r="J3" s="8"/>
    </row>
    <row r="4" spans="1:10" ht="45.75" customHeight="1">
      <c r="A4" s="9" t="s">
        <v>539</v>
      </c>
      <c r="B4" s="13" t="s">
        <v>39</v>
      </c>
      <c r="C4" s="8" t="s">
        <v>40</v>
      </c>
      <c r="D4" s="8" t="s">
        <v>540</v>
      </c>
      <c r="E4" s="8" t="s">
        <v>541</v>
      </c>
      <c r="F4" s="8" t="s">
        <v>542</v>
      </c>
      <c r="G4" s="8" t="s">
        <v>543</v>
      </c>
      <c r="H4" s="8" t="s">
        <v>544</v>
      </c>
      <c r="I4" s="8"/>
      <c r="J4" s="8"/>
    </row>
    <row r="5" spans="1:10" ht="45.75" customHeight="1">
      <c r="A5" s="9" t="s">
        <v>545</v>
      </c>
      <c r="B5" s="13" t="s">
        <v>51</v>
      </c>
      <c r="C5" s="8" t="s">
        <v>52</v>
      </c>
      <c r="D5" s="8" t="s">
        <v>528</v>
      </c>
      <c r="E5" s="8" t="s">
        <v>529</v>
      </c>
      <c r="F5" s="8" t="s">
        <v>546</v>
      </c>
      <c r="G5" s="8" t="s">
        <v>547</v>
      </c>
      <c r="H5" s="8" t="s">
        <v>548</v>
      </c>
      <c r="I5" s="8"/>
      <c r="J5" s="8"/>
    </row>
    <row r="6" spans="1:10" ht="45.75" customHeight="1">
      <c r="A6" s="9" t="s">
        <v>549</v>
      </c>
      <c r="B6" s="13" t="s">
        <v>51</v>
      </c>
      <c r="C6" s="8" t="s">
        <v>52</v>
      </c>
      <c r="D6" s="8" t="s">
        <v>534</v>
      </c>
      <c r="E6" s="8" t="s">
        <v>535</v>
      </c>
      <c r="F6" s="8" t="s">
        <v>550</v>
      </c>
      <c r="G6" s="8" t="s">
        <v>551</v>
      </c>
      <c r="H6" s="8" t="s">
        <v>552</v>
      </c>
      <c r="I6" s="8"/>
      <c r="J6" s="8"/>
    </row>
    <row r="7" spans="1:10" ht="45.75" customHeight="1">
      <c r="A7" s="9" t="s">
        <v>553</v>
      </c>
      <c r="B7" s="13" t="s">
        <v>51</v>
      </c>
      <c r="C7" s="8" t="s">
        <v>52</v>
      </c>
      <c r="D7" s="8" t="s">
        <v>540</v>
      </c>
      <c r="E7" s="8" t="s">
        <v>541</v>
      </c>
      <c r="F7" s="8" t="s">
        <v>554</v>
      </c>
      <c r="G7" s="8" t="s">
        <v>555</v>
      </c>
      <c r="H7" s="8" t="s">
        <v>556</v>
      </c>
      <c r="I7" s="8"/>
      <c r="J7" s="8"/>
    </row>
    <row r="8" spans="1:10" ht="45.75" customHeight="1">
      <c r="A8" s="9" t="s">
        <v>557</v>
      </c>
      <c r="B8" s="13" t="s">
        <v>59</v>
      </c>
      <c r="C8" s="8" t="s">
        <v>60</v>
      </c>
      <c r="D8" s="8" t="s">
        <v>528</v>
      </c>
      <c r="E8" s="8" t="s">
        <v>529</v>
      </c>
      <c r="F8" s="8" t="s">
        <v>558</v>
      </c>
      <c r="G8" s="8" t="s">
        <v>559</v>
      </c>
      <c r="H8" s="8" t="s">
        <v>560</v>
      </c>
      <c r="I8" s="8"/>
      <c r="J8" s="8"/>
    </row>
    <row r="9" spans="1:10" ht="45.75" customHeight="1">
      <c r="A9" s="9" t="s">
        <v>561</v>
      </c>
      <c r="B9" s="13" t="s">
        <v>59</v>
      </c>
      <c r="C9" s="8" t="s">
        <v>60</v>
      </c>
      <c r="D9" s="8" t="s">
        <v>562</v>
      </c>
      <c r="E9" s="8" t="s">
        <v>563</v>
      </c>
      <c r="F9" s="8" t="s">
        <v>564</v>
      </c>
      <c r="G9" s="8" t="s">
        <v>565</v>
      </c>
      <c r="H9" s="8" t="s">
        <v>566</v>
      </c>
      <c r="I9" s="8" t="s">
        <v>567</v>
      </c>
      <c r="J9" s="8"/>
    </row>
    <row r="10" spans="1:10" ht="45.75" customHeight="1">
      <c r="A10" s="9" t="s">
        <v>568</v>
      </c>
      <c r="B10" s="13" t="s">
        <v>59</v>
      </c>
      <c r="C10" s="8" t="s">
        <v>60</v>
      </c>
      <c r="D10" s="8" t="s">
        <v>569</v>
      </c>
      <c r="E10" s="8" t="s">
        <v>570</v>
      </c>
      <c r="F10" s="8" t="s">
        <v>571</v>
      </c>
      <c r="G10" s="8" t="s">
        <v>572</v>
      </c>
      <c r="H10" s="8" t="s">
        <v>573</v>
      </c>
      <c r="I10" s="8" t="s">
        <v>574</v>
      </c>
      <c r="J10" s="8"/>
    </row>
    <row r="11" spans="1:10" ht="45.75" customHeight="1">
      <c r="A11" s="9" t="s">
        <v>575</v>
      </c>
      <c r="B11" s="13" t="s">
        <v>70</v>
      </c>
      <c r="C11" s="8" t="s">
        <v>71</v>
      </c>
      <c r="D11" s="8" t="s">
        <v>562</v>
      </c>
      <c r="E11" s="8" t="s">
        <v>563</v>
      </c>
      <c r="F11" s="8" t="s">
        <v>576</v>
      </c>
      <c r="G11" s="8" t="s">
        <v>577</v>
      </c>
      <c r="H11" s="8" t="s">
        <v>578</v>
      </c>
      <c r="I11" s="8" t="s">
        <v>579</v>
      </c>
      <c r="J11" s="8"/>
    </row>
    <row r="12" spans="1:10" ht="45.75" customHeight="1">
      <c r="A12" s="9" t="s">
        <v>580</v>
      </c>
      <c r="B12" s="13" t="s">
        <v>70</v>
      </c>
      <c r="C12" s="8" t="s">
        <v>71</v>
      </c>
      <c r="D12" s="8" t="s">
        <v>534</v>
      </c>
      <c r="E12" s="8" t="s">
        <v>535</v>
      </c>
      <c r="F12" s="8" t="s">
        <v>581</v>
      </c>
      <c r="G12" s="8" t="s">
        <v>582</v>
      </c>
      <c r="H12" s="8" t="s">
        <v>583</v>
      </c>
      <c r="I12" s="8" t="s">
        <v>584</v>
      </c>
      <c r="J12" s="8"/>
    </row>
    <row r="13" spans="1:10" ht="45.75" customHeight="1">
      <c r="A13" s="9" t="s">
        <v>585</v>
      </c>
      <c r="B13" s="13" t="s">
        <v>70</v>
      </c>
      <c r="C13" s="8" t="s">
        <v>71</v>
      </c>
      <c r="D13" s="8" t="s">
        <v>569</v>
      </c>
      <c r="E13" s="8" t="s">
        <v>570</v>
      </c>
      <c r="F13" s="8" t="s">
        <v>586</v>
      </c>
      <c r="G13" s="8" t="s">
        <v>587</v>
      </c>
      <c r="H13" s="8" t="s">
        <v>588</v>
      </c>
      <c r="I13" s="8"/>
      <c r="J13" s="8" t="s">
        <v>78</v>
      </c>
    </row>
    <row r="14" spans="1:10" ht="45.75" customHeight="1">
      <c r="A14" s="9" t="s">
        <v>589</v>
      </c>
      <c r="B14" s="13" t="s">
        <v>70</v>
      </c>
      <c r="C14" s="8" t="s">
        <v>71</v>
      </c>
      <c r="D14" s="8" t="s">
        <v>540</v>
      </c>
      <c r="E14" s="8" t="s">
        <v>541</v>
      </c>
      <c r="F14" s="8" t="s">
        <v>590</v>
      </c>
      <c r="G14" s="8" t="s">
        <v>591</v>
      </c>
      <c r="H14" s="8" t="s">
        <v>592</v>
      </c>
      <c r="I14" s="8"/>
      <c r="J14" s="8"/>
    </row>
    <row r="15" spans="1:10" ht="45.75" customHeight="1">
      <c r="A15" s="9" t="s">
        <v>593</v>
      </c>
      <c r="B15" s="13" t="s">
        <v>80</v>
      </c>
      <c r="C15" s="8" t="s">
        <v>81</v>
      </c>
      <c r="D15" s="8" t="s">
        <v>528</v>
      </c>
      <c r="E15" s="8" t="s">
        <v>529</v>
      </c>
      <c r="F15" s="8" t="s">
        <v>594</v>
      </c>
      <c r="G15" s="8" t="s">
        <v>595</v>
      </c>
      <c r="H15" s="8" t="s">
        <v>596</v>
      </c>
      <c r="I15" s="8"/>
      <c r="J15" s="8"/>
    </row>
    <row r="16" spans="1:10" ht="45.75" customHeight="1">
      <c r="A16" s="9" t="s">
        <v>597</v>
      </c>
      <c r="B16" s="13" t="s">
        <v>80</v>
      </c>
      <c r="C16" s="8" t="s">
        <v>81</v>
      </c>
      <c r="D16" s="8" t="s">
        <v>534</v>
      </c>
      <c r="E16" s="8" t="s">
        <v>535</v>
      </c>
      <c r="F16" s="8" t="s">
        <v>314</v>
      </c>
      <c r="G16" s="8" t="s">
        <v>598</v>
      </c>
      <c r="H16" s="8" t="s">
        <v>599</v>
      </c>
      <c r="I16" s="8"/>
      <c r="J16" s="8"/>
    </row>
    <row r="17" spans="1:10" ht="45.75" customHeight="1">
      <c r="A17" s="9" t="s">
        <v>600</v>
      </c>
      <c r="B17" s="13" t="s">
        <v>80</v>
      </c>
      <c r="C17" s="8" t="s">
        <v>81</v>
      </c>
      <c r="D17" s="8" t="s">
        <v>540</v>
      </c>
      <c r="E17" s="8" t="s">
        <v>541</v>
      </c>
      <c r="F17" s="8" t="s">
        <v>312</v>
      </c>
      <c r="G17" s="8" t="s">
        <v>601</v>
      </c>
      <c r="H17" s="8" t="s">
        <v>602</v>
      </c>
      <c r="I17" s="8"/>
      <c r="J17" s="8"/>
    </row>
    <row r="18" spans="1:10" ht="45.75" customHeight="1">
      <c r="A18" s="9" t="s">
        <v>603</v>
      </c>
      <c r="B18" s="13" t="s">
        <v>88</v>
      </c>
      <c r="C18" s="8" t="s">
        <v>89</v>
      </c>
      <c r="D18" s="8" t="s">
        <v>562</v>
      </c>
      <c r="E18" s="8" t="s">
        <v>563</v>
      </c>
      <c r="F18" s="8" t="s">
        <v>604</v>
      </c>
      <c r="G18" s="8" t="s">
        <v>605</v>
      </c>
      <c r="H18" s="8" t="s">
        <v>606</v>
      </c>
      <c r="I18" s="8"/>
      <c r="J18" s="8"/>
    </row>
    <row r="19" spans="1:10" ht="45.75" customHeight="1">
      <c r="A19" s="9" t="s">
        <v>607</v>
      </c>
      <c r="B19" s="13" t="s">
        <v>88</v>
      </c>
      <c r="C19" s="8" t="s">
        <v>89</v>
      </c>
      <c r="D19" s="8" t="s">
        <v>569</v>
      </c>
      <c r="E19" s="8" t="s">
        <v>570</v>
      </c>
      <c r="F19" s="8" t="s">
        <v>608</v>
      </c>
      <c r="G19" s="8" t="s">
        <v>609</v>
      </c>
      <c r="H19" s="8" t="s">
        <v>610</v>
      </c>
      <c r="I19" s="8"/>
      <c r="J19" s="8" t="s">
        <v>97</v>
      </c>
    </row>
    <row r="20" spans="1:10" ht="45.75" customHeight="1">
      <c r="A20" s="9" t="s">
        <v>611</v>
      </c>
      <c r="B20" s="13" t="s">
        <v>88</v>
      </c>
      <c r="C20" s="8" t="s">
        <v>89</v>
      </c>
      <c r="D20" s="8" t="s">
        <v>540</v>
      </c>
      <c r="E20" s="8" t="s">
        <v>541</v>
      </c>
      <c r="F20" s="8" t="s">
        <v>612</v>
      </c>
      <c r="G20" s="8" t="s">
        <v>613</v>
      </c>
      <c r="H20" s="8" t="s">
        <v>614</v>
      </c>
      <c r="I20" s="8"/>
      <c r="J20" s="8"/>
    </row>
    <row r="21" spans="1:10" ht="45.75" customHeight="1">
      <c r="A21" s="9" t="s">
        <v>615</v>
      </c>
      <c r="B21" s="13" t="s">
        <v>99</v>
      </c>
      <c r="C21" s="8" t="s">
        <v>100</v>
      </c>
      <c r="D21" s="8" t="s">
        <v>528</v>
      </c>
      <c r="E21" s="8" t="s">
        <v>529</v>
      </c>
      <c r="F21" s="8" t="s">
        <v>616</v>
      </c>
      <c r="G21" s="8" t="s">
        <v>617</v>
      </c>
      <c r="H21" s="8" t="s">
        <v>618</v>
      </c>
      <c r="I21" s="8"/>
      <c r="J21" s="8"/>
    </row>
    <row r="22" spans="1:10" ht="45.75" customHeight="1">
      <c r="A22" s="9" t="s">
        <v>619</v>
      </c>
      <c r="B22" s="13" t="s">
        <v>99</v>
      </c>
      <c r="C22" s="8" t="s">
        <v>100</v>
      </c>
      <c r="D22" s="8" t="s">
        <v>534</v>
      </c>
      <c r="E22" s="8" t="s">
        <v>535</v>
      </c>
      <c r="F22" s="8" t="s">
        <v>620</v>
      </c>
      <c r="G22" s="8" t="s">
        <v>621</v>
      </c>
      <c r="H22" s="8" t="s">
        <v>622</v>
      </c>
      <c r="I22" s="8"/>
      <c r="J22" s="8"/>
    </row>
    <row r="23" spans="1:10" ht="45.75" customHeight="1">
      <c r="A23" s="9" t="s">
        <v>623</v>
      </c>
      <c r="B23" s="13" t="s">
        <v>99</v>
      </c>
      <c r="C23" s="8" t="s">
        <v>100</v>
      </c>
      <c r="D23" s="8" t="s">
        <v>540</v>
      </c>
      <c r="E23" s="8" t="s">
        <v>541</v>
      </c>
      <c r="F23" s="8" t="s">
        <v>335</v>
      </c>
      <c r="G23" s="8" t="s">
        <v>624</v>
      </c>
      <c r="H23" s="8" t="s">
        <v>625</v>
      </c>
      <c r="I23" s="8"/>
      <c r="J23" s="8"/>
    </row>
    <row r="24" spans="1:10" ht="45.75" customHeight="1">
      <c r="A24" s="9" t="s">
        <v>626</v>
      </c>
      <c r="B24" s="13" t="s">
        <v>107</v>
      </c>
      <c r="C24" s="8" t="s">
        <v>108</v>
      </c>
      <c r="D24" s="8" t="s">
        <v>562</v>
      </c>
      <c r="E24" s="8" t="s">
        <v>563</v>
      </c>
      <c r="F24" s="8" t="s">
        <v>627</v>
      </c>
      <c r="G24" s="8" t="s">
        <v>628</v>
      </c>
      <c r="H24" s="8" t="s">
        <v>629</v>
      </c>
      <c r="I24" s="8" t="s">
        <v>630</v>
      </c>
      <c r="J24" s="8"/>
    </row>
    <row r="25" spans="1:10" ht="45.75" customHeight="1">
      <c r="A25" s="9" t="s">
        <v>631</v>
      </c>
      <c r="B25" s="13" t="s">
        <v>107</v>
      </c>
      <c r="C25" s="8" t="s">
        <v>108</v>
      </c>
      <c r="D25" s="8" t="s">
        <v>534</v>
      </c>
      <c r="E25" s="8" t="s">
        <v>535</v>
      </c>
      <c r="F25" s="8" t="s">
        <v>632</v>
      </c>
      <c r="G25" s="8" t="s">
        <v>633</v>
      </c>
      <c r="H25" s="8" t="s">
        <v>634</v>
      </c>
      <c r="I25" s="8" t="s">
        <v>635</v>
      </c>
      <c r="J25" s="8"/>
    </row>
    <row r="26" spans="1:10" ht="45.75" customHeight="1">
      <c r="A26" s="9" t="s">
        <v>636</v>
      </c>
      <c r="B26" s="13" t="s">
        <v>107</v>
      </c>
      <c r="C26" s="8" t="s">
        <v>108</v>
      </c>
      <c r="D26" s="8" t="s">
        <v>540</v>
      </c>
      <c r="E26" s="8" t="s">
        <v>541</v>
      </c>
      <c r="F26" s="8" t="s">
        <v>637</v>
      </c>
      <c r="G26" s="8" t="s">
        <v>638</v>
      </c>
      <c r="H26" s="8" t="s">
        <v>639</v>
      </c>
      <c r="I26" s="8"/>
      <c r="J26" s="8"/>
    </row>
    <row r="27" spans="1:10" ht="45.75" customHeight="1">
      <c r="A27" s="9" t="s">
        <v>640</v>
      </c>
      <c r="B27" s="13" t="s">
        <v>118</v>
      </c>
      <c r="C27" s="8" t="s">
        <v>119</v>
      </c>
      <c r="D27" s="8" t="s">
        <v>562</v>
      </c>
      <c r="E27" s="8" t="s">
        <v>563</v>
      </c>
      <c r="F27" s="8" t="s">
        <v>641</v>
      </c>
      <c r="G27" s="8" t="s">
        <v>642</v>
      </c>
      <c r="H27" s="8" t="s">
        <v>643</v>
      </c>
      <c r="I27" s="8" t="s">
        <v>644</v>
      </c>
      <c r="J27" s="8"/>
    </row>
    <row r="28" spans="1:10" ht="45.75" customHeight="1">
      <c r="A28" s="9" t="s">
        <v>645</v>
      </c>
      <c r="B28" s="13" t="s">
        <v>118</v>
      </c>
      <c r="C28" s="8" t="s">
        <v>119</v>
      </c>
      <c r="D28" s="8" t="s">
        <v>534</v>
      </c>
      <c r="E28" s="8" t="s">
        <v>535</v>
      </c>
      <c r="F28" s="8" t="s">
        <v>646</v>
      </c>
      <c r="G28" s="8" t="s">
        <v>647</v>
      </c>
      <c r="H28" s="8" t="s">
        <v>648</v>
      </c>
      <c r="I28" s="8" t="s">
        <v>649</v>
      </c>
      <c r="J28" s="8"/>
    </row>
    <row r="29" spans="1:10" ht="45.75" customHeight="1">
      <c r="A29" s="9" t="s">
        <v>650</v>
      </c>
      <c r="B29" s="13" t="s">
        <v>118</v>
      </c>
      <c r="C29" s="8" t="s">
        <v>119</v>
      </c>
      <c r="D29" s="8" t="s">
        <v>569</v>
      </c>
      <c r="E29" s="8" t="s">
        <v>570</v>
      </c>
      <c r="F29" s="8" t="s">
        <v>651</v>
      </c>
      <c r="G29" s="8" t="s">
        <v>652</v>
      </c>
      <c r="H29" s="8" t="s">
        <v>653</v>
      </c>
      <c r="I29" s="8" t="s">
        <v>654</v>
      </c>
      <c r="J29" s="8"/>
    </row>
    <row r="30" spans="1:10" ht="45.75" customHeight="1">
      <c r="A30" s="9" t="s">
        <v>655</v>
      </c>
      <c r="B30" s="13" t="s">
        <v>127</v>
      </c>
      <c r="C30" s="8" t="s">
        <v>128</v>
      </c>
      <c r="D30" s="8" t="s">
        <v>528</v>
      </c>
      <c r="E30" s="8" t="s">
        <v>529</v>
      </c>
      <c r="F30" s="8" t="s">
        <v>656</v>
      </c>
      <c r="G30" s="8" t="s">
        <v>657</v>
      </c>
      <c r="H30" s="8" t="s">
        <v>658</v>
      </c>
      <c r="I30" s="8"/>
      <c r="J30" s="8"/>
    </row>
    <row r="31" spans="1:10" ht="45.75" customHeight="1">
      <c r="A31" s="9" t="s">
        <v>659</v>
      </c>
      <c r="B31" s="13" t="s">
        <v>127</v>
      </c>
      <c r="C31" s="8" t="s">
        <v>128</v>
      </c>
      <c r="D31" s="8" t="s">
        <v>534</v>
      </c>
      <c r="E31" s="8" t="s">
        <v>535</v>
      </c>
      <c r="F31" s="8" t="s">
        <v>660</v>
      </c>
      <c r="G31" s="8" t="s">
        <v>661</v>
      </c>
      <c r="H31" s="8" t="s">
        <v>662</v>
      </c>
      <c r="I31" s="8" t="s">
        <v>649</v>
      </c>
      <c r="J31" s="8"/>
    </row>
    <row r="32" spans="1:10" ht="45.75" customHeight="1">
      <c r="A32" s="9" t="s">
        <v>663</v>
      </c>
      <c r="B32" s="13" t="s">
        <v>127</v>
      </c>
      <c r="C32" s="8" t="s">
        <v>128</v>
      </c>
      <c r="D32" s="8" t="s">
        <v>540</v>
      </c>
      <c r="E32" s="8" t="s">
        <v>541</v>
      </c>
      <c r="F32" s="8" t="s">
        <v>664</v>
      </c>
      <c r="G32" s="8" t="s">
        <v>665</v>
      </c>
      <c r="H32" s="8" t="s">
        <v>666</v>
      </c>
      <c r="I32" s="8"/>
      <c r="J32" s="8"/>
    </row>
    <row r="33" spans="1:10" ht="45.75" customHeight="1">
      <c r="A33" s="9" t="s">
        <v>667</v>
      </c>
      <c r="B33" s="13" t="s">
        <v>135</v>
      </c>
      <c r="C33" s="8" t="s">
        <v>136</v>
      </c>
      <c r="D33" s="8" t="s">
        <v>528</v>
      </c>
      <c r="E33" s="8" t="s">
        <v>529</v>
      </c>
      <c r="F33" s="8" t="s">
        <v>668</v>
      </c>
      <c r="G33" s="8" t="s">
        <v>669</v>
      </c>
      <c r="H33" s="8" t="s">
        <v>670</v>
      </c>
      <c r="I33" s="8"/>
      <c r="J33" s="8" t="s">
        <v>671</v>
      </c>
    </row>
    <row r="34" spans="1:10" ht="45.75" customHeight="1">
      <c r="A34" s="9" t="s">
        <v>672</v>
      </c>
      <c r="B34" s="13" t="s">
        <v>135</v>
      </c>
      <c r="C34" s="8" t="s">
        <v>136</v>
      </c>
      <c r="D34" s="8" t="s">
        <v>569</v>
      </c>
      <c r="E34" s="8" t="s">
        <v>570</v>
      </c>
      <c r="F34" s="8" t="s">
        <v>673</v>
      </c>
      <c r="G34" s="8" t="s">
        <v>674</v>
      </c>
      <c r="H34" s="8" t="s">
        <v>675</v>
      </c>
      <c r="I34" s="8" t="s">
        <v>676</v>
      </c>
      <c r="J34" s="8"/>
    </row>
    <row r="35" spans="1:10" ht="45.75" customHeight="1">
      <c r="A35" s="9" t="s">
        <v>677</v>
      </c>
      <c r="B35" s="13" t="s">
        <v>135</v>
      </c>
      <c r="C35" s="8" t="s">
        <v>136</v>
      </c>
      <c r="D35" s="8" t="s">
        <v>540</v>
      </c>
      <c r="E35" s="8" t="s">
        <v>541</v>
      </c>
      <c r="F35" s="8" t="s">
        <v>678</v>
      </c>
      <c r="G35" s="8" t="s">
        <v>679</v>
      </c>
      <c r="H35" s="8" t="s">
        <v>680</v>
      </c>
      <c r="I35" s="8"/>
      <c r="J35" s="8"/>
    </row>
    <row r="36" spans="1:10" ht="45.75" customHeight="1">
      <c r="A36" s="9" t="s">
        <v>681</v>
      </c>
      <c r="B36" s="13" t="s">
        <v>145</v>
      </c>
      <c r="C36" s="8" t="s">
        <v>146</v>
      </c>
      <c r="D36" s="8" t="s">
        <v>528</v>
      </c>
      <c r="E36" s="8" t="s">
        <v>529</v>
      </c>
      <c r="F36" s="8" t="s">
        <v>682</v>
      </c>
      <c r="G36" s="8" t="s">
        <v>683</v>
      </c>
      <c r="H36" s="8" t="s">
        <v>684</v>
      </c>
      <c r="I36" s="8"/>
      <c r="J36" s="8"/>
    </row>
    <row r="37" spans="1:10" ht="45.75" customHeight="1">
      <c r="A37" s="9" t="s">
        <v>685</v>
      </c>
      <c r="B37" s="13" t="s">
        <v>145</v>
      </c>
      <c r="C37" s="8" t="s">
        <v>146</v>
      </c>
      <c r="D37" s="8" t="s">
        <v>562</v>
      </c>
      <c r="E37" s="8" t="s">
        <v>563</v>
      </c>
      <c r="F37" s="8" t="s">
        <v>686</v>
      </c>
      <c r="G37" s="8" t="s">
        <v>687</v>
      </c>
      <c r="H37" s="8" t="s">
        <v>688</v>
      </c>
      <c r="I37" s="8"/>
      <c r="J37" s="8"/>
    </row>
    <row r="38" spans="1:10" ht="45.75" customHeight="1">
      <c r="A38" s="9" t="s">
        <v>689</v>
      </c>
      <c r="B38" s="13" t="s">
        <v>145</v>
      </c>
      <c r="C38" s="8" t="s">
        <v>146</v>
      </c>
      <c r="D38" s="8" t="s">
        <v>534</v>
      </c>
      <c r="E38" s="8" t="s">
        <v>535</v>
      </c>
      <c r="F38" s="8" t="s">
        <v>690</v>
      </c>
      <c r="G38" s="8" t="s">
        <v>691</v>
      </c>
      <c r="H38" s="8" t="s">
        <v>692</v>
      </c>
      <c r="I38" s="8" t="s">
        <v>693</v>
      </c>
      <c r="J38" s="8"/>
    </row>
    <row r="39" spans="1:10" ht="45.75" customHeight="1">
      <c r="A39" s="9" t="s">
        <v>694</v>
      </c>
      <c r="B39" s="13" t="s">
        <v>145</v>
      </c>
      <c r="C39" s="8" t="s">
        <v>146</v>
      </c>
      <c r="D39" s="8" t="s">
        <v>569</v>
      </c>
      <c r="E39" s="8" t="s">
        <v>570</v>
      </c>
      <c r="F39" s="8" t="s">
        <v>695</v>
      </c>
      <c r="G39" s="8" t="s">
        <v>696</v>
      </c>
      <c r="H39" s="8" t="s">
        <v>697</v>
      </c>
      <c r="I39" s="8" t="s">
        <v>654</v>
      </c>
      <c r="J39" s="8"/>
    </row>
    <row r="40" spans="1:10" ht="45.75" customHeight="1">
      <c r="A40" s="9" t="s">
        <v>698</v>
      </c>
      <c r="B40" s="13" t="s">
        <v>155</v>
      </c>
      <c r="C40" s="8" t="s">
        <v>156</v>
      </c>
      <c r="D40" s="8" t="s">
        <v>528</v>
      </c>
      <c r="E40" s="8" t="s">
        <v>529</v>
      </c>
      <c r="F40" s="8" t="s">
        <v>699</v>
      </c>
      <c r="G40" s="8" t="s">
        <v>700</v>
      </c>
      <c r="H40" s="8" t="s">
        <v>701</v>
      </c>
      <c r="I40" s="8"/>
      <c r="J40" s="8"/>
    </row>
    <row r="41" spans="1:10" ht="45.75" customHeight="1">
      <c r="A41" s="9" t="s">
        <v>702</v>
      </c>
      <c r="B41" s="13" t="s">
        <v>155</v>
      </c>
      <c r="C41" s="8" t="s">
        <v>156</v>
      </c>
      <c r="D41" s="8" t="s">
        <v>562</v>
      </c>
      <c r="E41" s="8" t="s">
        <v>563</v>
      </c>
      <c r="F41" s="8" t="s">
        <v>703</v>
      </c>
      <c r="G41" s="8" t="s">
        <v>704</v>
      </c>
      <c r="H41" s="8" t="s">
        <v>705</v>
      </c>
      <c r="I41" s="8"/>
      <c r="J41" s="8"/>
    </row>
    <row r="42" spans="1:10" ht="45.75" customHeight="1">
      <c r="A42" s="9" t="s">
        <v>706</v>
      </c>
      <c r="B42" s="13" t="s">
        <v>155</v>
      </c>
      <c r="C42" s="8" t="s">
        <v>156</v>
      </c>
      <c r="D42" s="8" t="s">
        <v>540</v>
      </c>
      <c r="E42" s="8" t="s">
        <v>541</v>
      </c>
      <c r="F42" s="8" t="s">
        <v>707</v>
      </c>
      <c r="G42" s="8" t="s">
        <v>708</v>
      </c>
      <c r="H42" s="8" t="s">
        <v>709</v>
      </c>
      <c r="I42" s="8"/>
      <c r="J42" s="8" t="s">
        <v>710</v>
      </c>
    </row>
    <row r="43" spans="1:10" ht="45.75" customHeight="1">
      <c r="A43" s="9" t="s">
        <v>711</v>
      </c>
      <c r="B43" s="13" t="s">
        <v>163</v>
      </c>
      <c r="C43" s="8" t="s">
        <v>164</v>
      </c>
      <c r="D43" s="8" t="s">
        <v>528</v>
      </c>
      <c r="E43" s="8" t="s">
        <v>529</v>
      </c>
      <c r="F43" s="8" t="s">
        <v>712</v>
      </c>
      <c r="G43" s="8" t="s">
        <v>713</v>
      </c>
      <c r="H43" s="8" t="s">
        <v>714</v>
      </c>
      <c r="I43" s="8"/>
      <c r="J43" s="8"/>
    </row>
    <row r="44" spans="1:10" ht="45.75" customHeight="1">
      <c r="A44" s="9" t="s">
        <v>715</v>
      </c>
      <c r="B44" s="13" t="s">
        <v>163</v>
      </c>
      <c r="C44" s="8" t="s">
        <v>164</v>
      </c>
      <c r="D44" s="8" t="s">
        <v>534</v>
      </c>
      <c r="E44" s="8" t="s">
        <v>535</v>
      </c>
      <c r="F44" s="8" t="s">
        <v>421</v>
      </c>
      <c r="G44" s="8" t="s">
        <v>716</v>
      </c>
      <c r="H44" s="8" t="s">
        <v>717</v>
      </c>
      <c r="I44" s="8"/>
      <c r="J44" s="8"/>
    </row>
    <row r="45" spans="1:10" ht="45.75" customHeight="1">
      <c r="A45" s="9" t="s">
        <v>718</v>
      </c>
      <c r="B45" s="13" t="s">
        <v>163</v>
      </c>
      <c r="C45" s="8" t="s">
        <v>164</v>
      </c>
      <c r="D45" s="8" t="s">
        <v>540</v>
      </c>
      <c r="E45" s="8" t="s">
        <v>541</v>
      </c>
      <c r="F45" s="8" t="s">
        <v>719</v>
      </c>
      <c r="G45" s="8" t="s">
        <v>720</v>
      </c>
      <c r="H45" s="8" t="s">
        <v>721</v>
      </c>
      <c r="I45" s="8"/>
      <c r="J45" s="8" t="s">
        <v>171</v>
      </c>
    </row>
    <row r="46" spans="1:10" ht="45.75" customHeight="1">
      <c r="A46" s="9" t="s">
        <v>722</v>
      </c>
      <c r="B46" s="13" t="s">
        <v>173</v>
      </c>
      <c r="C46" s="8" t="s">
        <v>174</v>
      </c>
      <c r="D46" s="8" t="s">
        <v>528</v>
      </c>
      <c r="E46" s="8" t="s">
        <v>529</v>
      </c>
      <c r="F46" s="8" t="s">
        <v>723</v>
      </c>
      <c r="G46" s="8" t="s">
        <v>724</v>
      </c>
      <c r="H46" s="8" t="s">
        <v>725</v>
      </c>
      <c r="I46" s="8"/>
      <c r="J46" s="8" t="s">
        <v>726</v>
      </c>
    </row>
    <row r="47" spans="1:10" ht="45.75" customHeight="1">
      <c r="A47" s="9" t="s">
        <v>727</v>
      </c>
      <c r="B47" s="13" t="s">
        <v>173</v>
      </c>
      <c r="C47" s="8" t="s">
        <v>174</v>
      </c>
      <c r="D47" s="8" t="s">
        <v>534</v>
      </c>
      <c r="E47" s="8" t="s">
        <v>535</v>
      </c>
      <c r="F47" s="8" t="s">
        <v>728</v>
      </c>
      <c r="G47" s="8" t="s">
        <v>729</v>
      </c>
      <c r="H47" s="8" t="s">
        <v>730</v>
      </c>
      <c r="I47" s="8" t="s">
        <v>584</v>
      </c>
      <c r="J47" s="8"/>
    </row>
    <row r="48" spans="1:10" ht="45.75" customHeight="1">
      <c r="A48" s="9" t="s">
        <v>731</v>
      </c>
      <c r="B48" s="13" t="s">
        <v>173</v>
      </c>
      <c r="C48" s="8" t="s">
        <v>174</v>
      </c>
      <c r="D48" s="8" t="s">
        <v>569</v>
      </c>
      <c r="E48" s="8" t="s">
        <v>570</v>
      </c>
      <c r="F48" s="8" t="s">
        <v>732</v>
      </c>
      <c r="G48" s="8" t="s">
        <v>733</v>
      </c>
      <c r="H48" s="8" t="s">
        <v>734</v>
      </c>
      <c r="I48" s="8" t="s">
        <v>735</v>
      </c>
      <c r="J48" s="8" t="s">
        <v>736</v>
      </c>
    </row>
    <row r="49" spans="1:10" ht="45.75" customHeight="1">
      <c r="A49" s="9" t="s">
        <v>737</v>
      </c>
      <c r="B49" s="13" t="s">
        <v>173</v>
      </c>
      <c r="C49" s="8" t="s">
        <v>174</v>
      </c>
      <c r="D49" s="8" t="s">
        <v>540</v>
      </c>
      <c r="E49" s="8" t="s">
        <v>541</v>
      </c>
      <c r="F49" s="8" t="s">
        <v>738</v>
      </c>
      <c r="G49" s="8" t="s">
        <v>739</v>
      </c>
      <c r="H49" s="8" t="s">
        <v>740</v>
      </c>
      <c r="I49" s="8"/>
      <c r="J49" s="8" t="s">
        <v>741</v>
      </c>
    </row>
    <row r="50" spans="1:10" ht="45.75" customHeight="1">
      <c r="A50" s="9" t="s">
        <v>742</v>
      </c>
      <c r="B50" s="13" t="s">
        <v>185</v>
      </c>
      <c r="C50" s="8" t="s">
        <v>186</v>
      </c>
      <c r="D50" s="8" t="s">
        <v>562</v>
      </c>
      <c r="E50" s="8" t="s">
        <v>563</v>
      </c>
      <c r="F50" s="8" t="s">
        <v>743</v>
      </c>
      <c r="G50" s="8" t="s">
        <v>744</v>
      </c>
      <c r="H50" s="8" t="s">
        <v>745</v>
      </c>
      <c r="I50" s="8"/>
      <c r="J50" s="8"/>
    </row>
    <row r="51" spans="1:10" ht="45.75" customHeight="1">
      <c r="A51" s="9" t="s">
        <v>746</v>
      </c>
      <c r="B51" s="13" t="s">
        <v>185</v>
      </c>
      <c r="C51" s="8" t="s">
        <v>186</v>
      </c>
      <c r="D51" s="8" t="s">
        <v>569</v>
      </c>
      <c r="E51" s="8" t="s">
        <v>570</v>
      </c>
      <c r="F51" s="8" t="s">
        <v>747</v>
      </c>
      <c r="G51" s="8" t="s">
        <v>748</v>
      </c>
      <c r="H51" s="8" t="s">
        <v>749</v>
      </c>
      <c r="I51" s="8"/>
      <c r="J51" s="8" t="s">
        <v>750</v>
      </c>
    </row>
    <row r="52" spans="1:10" ht="45.75" customHeight="1">
      <c r="A52" s="9" t="s">
        <v>751</v>
      </c>
      <c r="B52" s="13" t="s">
        <v>185</v>
      </c>
      <c r="C52" s="8" t="s">
        <v>186</v>
      </c>
      <c r="D52" s="8" t="s">
        <v>540</v>
      </c>
      <c r="E52" s="8" t="s">
        <v>541</v>
      </c>
      <c r="F52" s="8" t="s">
        <v>752</v>
      </c>
      <c r="G52" s="8" t="s">
        <v>753</v>
      </c>
      <c r="H52" s="8" t="s">
        <v>754</v>
      </c>
      <c r="I52" s="8"/>
      <c r="J52" s="8" t="s">
        <v>755</v>
      </c>
    </row>
    <row r="53" spans="1:10" ht="45.75" customHeight="1">
      <c r="A53" s="9" t="s">
        <v>756</v>
      </c>
      <c r="B53" s="13" t="s">
        <v>193</v>
      </c>
      <c r="C53" s="8" t="s">
        <v>194</v>
      </c>
      <c r="D53" s="8" t="s">
        <v>534</v>
      </c>
      <c r="E53" s="8" t="s">
        <v>535</v>
      </c>
      <c r="F53" s="8" t="s">
        <v>757</v>
      </c>
      <c r="G53" s="8" t="s">
        <v>758</v>
      </c>
      <c r="H53" s="8" t="s">
        <v>759</v>
      </c>
      <c r="I53" s="8"/>
      <c r="J53" s="8"/>
    </row>
    <row r="54" spans="1:10" ht="45.75" customHeight="1">
      <c r="A54" s="9" t="s">
        <v>760</v>
      </c>
      <c r="B54" s="13" t="s">
        <v>193</v>
      </c>
      <c r="C54" s="8" t="s">
        <v>194</v>
      </c>
      <c r="D54" s="8" t="s">
        <v>569</v>
      </c>
      <c r="E54" s="8" t="s">
        <v>570</v>
      </c>
      <c r="F54" s="8" t="s">
        <v>761</v>
      </c>
      <c r="G54" s="8" t="s">
        <v>762</v>
      </c>
      <c r="H54" s="8" t="s">
        <v>763</v>
      </c>
      <c r="I54" s="8"/>
      <c r="J54" s="8"/>
    </row>
    <row r="55" spans="1:10" ht="45.75" customHeight="1">
      <c r="A55" s="9" t="s">
        <v>764</v>
      </c>
      <c r="B55" s="13" t="s">
        <v>193</v>
      </c>
      <c r="C55" s="8" t="s">
        <v>194</v>
      </c>
      <c r="D55" s="8" t="s">
        <v>540</v>
      </c>
      <c r="E55" s="8" t="s">
        <v>541</v>
      </c>
      <c r="F55" s="8" t="s">
        <v>765</v>
      </c>
      <c r="G55" s="8" t="s">
        <v>766</v>
      </c>
      <c r="H55" s="8" t="s">
        <v>767</v>
      </c>
      <c r="I55" s="8" t="s">
        <v>768</v>
      </c>
      <c r="J55" s="8"/>
    </row>
    <row r="56" spans="1:10" ht="45.75" customHeight="1">
      <c r="A56" s="9" t="s">
        <v>769</v>
      </c>
      <c r="B56" s="13" t="s">
        <v>202</v>
      </c>
      <c r="C56" s="8" t="s">
        <v>203</v>
      </c>
      <c r="D56" s="8" t="s">
        <v>528</v>
      </c>
      <c r="E56" s="8" t="s">
        <v>529</v>
      </c>
      <c r="F56" s="8" t="s">
        <v>464</v>
      </c>
      <c r="G56" s="8" t="s">
        <v>770</v>
      </c>
      <c r="H56" s="8" t="s">
        <v>771</v>
      </c>
      <c r="I56" s="8"/>
      <c r="J56" s="8" t="s">
        <v>772</v>
      </c>
    </row>
    <row r="57" spans="1:10" ht="45.75" customHeight="1">
      <c r="A57" s="9" t="s">
        <v>773</v>
      </c>
      <c r="B57" s="13" t="s">
        <v>202</v>
      </c>
      <c r="C57" s="8" t="s">
        <v>203</v>
      </c>
      <c r="D57" s="8" t="s">
        <v>569</v>
      </c>
      <c r="E57" s="8" t="s">
        <v>570</v>
      </c>
      <c r="F57" s="8" t="s">
        <v>774</v>
      </c>
      <c r="G57" s="8" t="s">
        <v>775</v>
      </c>
      <c r="H57" s="8" t="s">
        <v>776</v>
      </c>
      <c r="I57" s="8"/>
      <c r="J57" s="8" t="s">
        <v>777</v>
      </c>
    </row>
    <row r="58" spans="1:10" ht="45.75" customHeight="1">
      <c r="A58" s="9" t="s">
        <v>778</v>
      </c>
      <c r="B58" s="13" t="s">
        <v>202</v>
      </c>
      <c r="C58" s="8" t="s">
        <v>203</v>
      </c>
      <c r="D58" s="8" t="s">
        <v>540</v>
      </c>
      <c r="E58" s="8" t="s">
        <v>541</v>
      </c>
      <c r="F58" s="8" t="s">
        <v>779</v>
      </c>
      <c r="G58" s="8" t="s">
        <v>780</v>
      </c>
      <c r="H58" s="8" t="s">
        <v>781</v>
      </c>
      <c r="I58" s="8"/>
      <c r="J58" s="8"/>
    </row>
    <row r="59" spans="1:10" ht="45.75" customHeight="1">
      <c r="A59" s="9" t="s">
        <v>782</v>
      </c>
      <c r="B59" s="13" t="s">
        <v>211</v>
      </c>
      <c r="C59" s="8" t="s">
        <v>212</v>
      </c>
      <c r="D59" s="8" t="s">
        <v>534</v>
      </c>
      <c r="E59" s="8" t="s">
        <v>535</v>
      </c>
      <c r="F59" s="8" t="s">
        <v>783</v>
      </c>
      <c r="G59" s="8" t="s">
        <v>784</v>
      </c>
      <c r="H59" s="8" t="s">
        <v>785</v>
      </c>
      <c r="I59" s="8"/>
      <c r="J59" s="8"/>
    </row>
    <row r="60" spans="1:10" ht="45.75" customHeight="1">
      <c r="A60" s="9" t="s">
        <v>786</v>
      </c>
      <c r="B60" s="13" t="s">
        <v>211</v>
      </c>
      <c r="C60" s="8" t="s">
        <v>212</v>
      </c>
      <c r="D60" s="8" t="s">
        <v>540</v>
      </c>
      <c r="E60" s="8" t="s">
        <v>541</v>
      </c>
      <c r="F60" s="8" t="s">
        <v>787</v>
      </c>
      <c r="G60" s="8" t="s">
        <v>788</v>
      </c>
      <c r="H60" s="8" t="s">
        <v>789</v>
      </c>
      <c r="I60" s="8" t="s">
        <v>790</v>
      </c>
      <c r="J60" s="8" t="s">
        <v>741</v>
      </c>
    </row>
    <row r="62" spans="1:10" ht="43.35" customHeight="1">
      <c r="A62" s="14" t="s">
        <v>11</v>
      </c>
      <c r="C62" s="15" t="s">
        <v>791</v>
      </c>
    </row>
    <row r="63" spans="1:10" ht="22.35" customHeight="1">
      <c r="A63" s="11" t="s">
        <v>792</v>
      </c>
      <c r="B63" s="8" t="s">
        <v>220</v>
      </c>
      <c r="C63" s="8" t="s">
        <v>221</v>
      </c>
      <c r="D63" s="8"/>
      <c r="E63" s="8"/>
      <c r="F63" s="8" t="s">
        <v>793</v>
      </c>
      <c r="G63" s="8" t="s">
        <v>794</v>
      </c>
      <c r="H63" s="8"/>
      <c r="I63" s="8"/>
      <c r="J63" s="8"/>
    </row>
    <row r="64" spans="1:10" ht="22.35" customHeight="1">
      <c r="A64" s="11" t="s">
        <v>795</v>
      </c>
      <c r="B64" s="8" t="s">
        <v>227</v>
      </c>
      <c r="C64" s="8" t="s">
        <v>228</v>
      </c>
      <c r="D64" s="8"/>
      <c r="E64" s="8"/>
      <c r="F64" s="8" t="s">
        <v>796</v>
      </c>
      <c r="G64" s="8" t="s">
        <v>797</v>
      </c>
      <c r="H64" s="8"/>
      <c r="I64" s="8"/>
      <c r="J64" s="8"/>
    </row>
    <row r="65" spans="1:10" ht="15" customHeight="1">
      <c r="A65" s="11" t="s">
        <v>798</v>
      </c>
      <c r="B65" s="8" t="s">
        <v>236</v>
      </c>
      <c r="C65" s="8" t="s">
        <v>237</v>
      </c>
      <c r="D65" s="8"/>
      <c r="E65" s="8"/>
      <c r="F65" s="8" t="s">
        <v>799</v>
      </c>
      <c r="G65" s="8" t="s">
        <v>800</v>
      </c>
      <c r="H65" s="8"/>
      <c r="I65" s="8"/>
      <c r="J65" s="8"/>
    </row>
  </sheetData>
  <autoFilter ref="A1:J60"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7"/>
  <sheetViews>
    <sheetView zoomScaleNormal="100" workbookViewId="0">
      <pane ySplit="1" topLeftCell="A2" activePane="bottomLeft" state="frozen"/>
      <selection pane="bottomLeft"/>
    </sheetView>
  </sheetViews>
  <sheetFormatPr defaultColWidth="8.7109375" defaultRowHeight="15"/>
  <cols>
    <col min="1" max="1" width="9" customWidth="1"/>
    <col min="2" max="2" width="13" customWidth="1"/>
    <col min="3" max="3" width="44" customWidth="1"/>
    <col min="4" max="8" width="17" customWidth="1"/>
    <col min="9" max="9" width="15" customWidth="1"/>
  </cols>
  <sheetData>
    <row r="1" spans="1:9" ht="42" customHeight="1">
      <c r="A1" s="4" t="s">
        <v>25</v>
      </c>
      <c r="B1" s="4" t="s">
        <v>26</v>
      </c>
      <c r="C1" s="4" t="s">
        <v>27</v>
      </c>
      <c r="D1" s="4" t="s">
        <v>801</v>
      </c>
      <c r="E1" s="4" t="s">
        <v>802</v>
      </c>
      <c r="F1" s="4" t="s">
        <v>803</v>
      </c>
      <c r="G1" s="4" t="s">
        <v>804</v>
      </c>
      <c r="H1" s="4" t="s">
        <v>805</v>
      </c>
      <c r="I1" s="4" t="s">
        <v>806</v>
      </c>
    </row>
    <row r="2" spans="1:9" ht="19.5" customHeight="1">
      <c r="A2" s="8" t="s">
        <v>38</v>
      </c>
      <c r="B2" s="9" t="s">
        <v>39</v>
      </c>
      <c r="C2" s="8" t="s">
        <v>40</v>
      </c>
      <c r="D2" s="16" t="s">
        <v>807</v>
      </c>
      <c r="E2" s="17"/>
      <c r="F2" s="16" t="s">
        <v>807</v>
      </c>
      <c r="G2" s="17"/>
      <c r="H2" s="16" t="s">
        <v>807</v>
      </c>
      <c r="I2" s="8">
        <f>COUNTIF(D2:H2,"1")+COUNTIF(D2:H2,"X")</f>
        <v>3</v>
      </c>
    </row>
    <row r="3" spans="1:9" ht="19.5" customHeight="1">
      <c r="A3" s="8" t="s">
        <v>38</v>
      </c>
      <c r="B3" s="9" t="s">
        <v>51</v>
      </c>
      <c r="C3" s="8" t="s">
        <v>52</v>
      </c>
      <c r="D3" s="16" t="s">
        <v>807</v>
      </c>
      <c r="E3" s="17"/>
      <c r="F3" s="16" t="s">
        <v>807</v>
      </c>
      <c r="G3" s="17"/>
      <c r="H3" s="16" t="s">
        <v>807</v>
      </c>
      <c r="I3" s="8">
        <f>COUNTIF(D3:H3,"1")+COUNTIF(D3:H3,"X")</f>
        <v>3</v>
      </c>
    </row>
    <row r="4" spans="1:9" ht="19.5" customHeight="1">
      <c r="A4" s="8" t="s">
        <v>38</v>
      </c>
      <c r="B4" s="9" t="s">
        <v>59</v>
      </c>
      <c r="C4" s="8" t="s">
        <v>60</v>
      </c>
      <c r="D4" s="16" t="s">
        <v>807</v>
      </c>
      <c r="E4" s="16" t="s">
        <v>807</v>
      </c>
      <c r="F4" s="17"/>
      <c r="G4" s="16" t="s">
        <v>807</v>
      </c>
      <c r="H4" s="17"/>
      <c r="I4" s="8">
        <f>COUNTIF(D4:H4,"1")+COUNTIF(D4:H4,"X")</f>
        <v>3</v>
      </c>
    </row>
    <row r="5" spans="1:9" ht="19.5" customHeight="1">
      <c r="A5" s="8" t="s">
        <v>38</v>
      </c>
      <c r="B5" s="9" t="s">
        <v>70</v>
      </c>
      <c r="C5" s="8" t="s">
        <v>71</v>
      </c>
      <c r="D5" s="17"/>
      <c r="E5" s="16" t="s">
        <v>807</v>
      </c>
      <c r="F5" s="16" t="s">
        <v>807</v>
      </c>
      <c r="G5" s="16" t="s">
        <v>807</v>
      </c>
      <c r="H5" s="16" t="s">
        <v>807</v>
      </c>
      <c r="I5" s="8">
        <f>COUNTIF(D5:H5,"1")+COUNTIF(D5:H5,"X")</f>
        <v>4</v>
      </c>
    </row>
    <row r="6" spans="1:9" ht="19.5" customHeight="1">
      <c r="A6" s="8" t="s">
        <v>38</v>
      </c>
      <c r="B6" s="9" t="s">
        <v>80</v>
      </c>
      <c r="C6" s="8" t="s">
        <v>81</v>
      </c>
      <c r="D6" s="16" t="s">
        <v>807</v>
      </c>
      <c r="E6" s="17"/>
      <c r="F6" s="16" t="s">
        <v>807</v>
      </c>
      <c r="G6" s="17"/>
      <c r="H6" s="16" t="s">
        <v>807</v>
      </c>
      <c r="I6" s="8">
        <f>COUNTIF(D6:H6,"1")+COUNTIF(D6:H6,"X")</f>
        <v>3</v>
      </c>
    </row>
    <row r="7" spans="1:9" ht="19.5" customHeight="1">
      <c r="A7" s="8" t="s">
        <v>38</v>
      </c>
      <c r="B7" s="9" t="s">
        <v>88</v>
      </c>
      <c r="C7" s="8" t="s">
        <v>89</v>
      </c>
      <c r="D7" s="17"/>
      <c r="E7" s="16" t="s">
        <v>807</v>
      </c>
      <c r="F7" s="17"/>
      <c r="G7" s="16" t="s">
        <v>807</v>
      </c>
      <c r="H7" s="16" t="s">
        <v>807</v>
      </c>
      <c r="I7" s="8">
        <f>COUNTIF(D7:H7,"1")+COUNTIF(D7:H7,"X")</f>
        <v>3</v>
      </c>
    </row>
    <row r="8" spans="1:9" ht="19.5" customHeight="1">
      <c r="A8" s="8" t="s">
        <v>38</v>
      </c>
      <c r="B8" s="9" t="s">
        <v>99</v>
      </c>
      <c r="C8" s="8" t="s">
        <v>100</v>
      </c>
      <c r="D8" s="16" t="s">
        <v>807</v>
      </c>
      <c r="E8" s="17"/>
      <c r="F8" s="16" t="s">
        <v>807</v>
      </c>
      <c r="G8" s="17"/>
      <c r="H8" s="16" t="s">
        <v>807</v>
      </c>
      <c r="I8" s="8">
        <f>COUNTIF(D8:H8,"1")+COUNTIF(D8:H8,"X")</f>
        <v>3</v>
      </c>
    </row>
    <row r="9" spans="1:9" ht="19.5" customHeight="1">
      <c r="A9" s="8" t="s">
        <v>106</v>
      </c>
      <c r="B9" s="9" t="s">
        <v>107</v>
      </c>
      <c r="C9" s="8" t="s">
        <v>108</v>
      </c>
      <c r="D9" s="17"/>
      <c r="E9" s="16" t="s">
        <v>807</v>
      </c>
      <c r="F9" s="16" t="s">
        <v>807</v>
      </c>
      <c r="G9" s="17"/>
      <c r="H9" s="16" t="s">
        <v>807</v>
      </c>
      <c r="I9" s="8">
        <f>COUNTIF(D9:H9,"1")+COUNTIF(D9:H9,"X")</f>
        <v>3</v>
      </c>
    </row>
    <row r="10" spans="1:9" ht="19.5" customHeight="1">
      <c r="A10" s="8" t="s">
        <v>106</v>
      </c>
      <c r="B10" s="9" t="s">
        <v>118</v>
      </c>
      <c r="C10" s="8" t="s">
        <v>119</v>
      </c>
      <c r="D10" s="17"/>
      <c r="E10" s="16" t="s">
        <v>807</v>
      </c>
      <c r="F10" s="16" t="s">
        <v>807</v>
      </c>
      <c r="G10" s="16" t="s">
        <v>807</v>
      </c>
      <c r="H10" s="17"/>
      <c r="I10" s="8">
        <f>COUNTIF(D10:H10,"1")+COUNTIF(D10:H10,"X")</f>
        <v>3</v>
      </c>
    </row>
    <row r="11" spans="1:9" ht="19.5" customHeight="1">
      <c r="A11" s="8" t="s">
        <v>106</v>
      </c>
      <c r="B11" s="9" t="s">
        <v>127</v>
      </c>
      <c r="C11" s="8" t="s">
        <v>128</v>
      </c>
      <c r="D11" s="16" t="s">
        <v>807</v>
      </c>
      <c r="E11" s="17"/>
      <c r="F11" s="16" t="s">
        <v>807</v>
      </c>
      <c r="G11" s="17"/>
      <c r="H11" s="16" t="s">
        <v>807</v>
      </c>
      <c r="I11" s="8">
        <f>COUNTIF(D11:H11,"1")+COUNTIF(D11:H11,"X")</f>
        <v>3</v>
      </c>
    </row>
    <row r="12" spans="1:9" ht="19.5" customHeight="1">
      <c r="A12" s="8" t="s">
        <v>106</v>
      </c>
      <c r="B12" s="9" t="s">
        <v>135</v>
      </c>
      <c r="C12" s="8" t="s">
        <v>136</v>
      </c>
      <c r="D12" s="16" t="s">
        <v>807</v>
      </c>
      <c r="E12" s="17"/>
      <c r="F12" s="17"/>
      <c r="G12" s="16" t="s">
        <v>807</v>
      </c>
      <c r="H12" s="16" t="s">
        <v>807</v>
      </c>
      <c r="I12" s="8">
        <f>COUNTIF(D12:H12,"1")+COUNTIF(D12:H12,"X")</f>
        <v>3</v>
      </c>
    </row>
    <row r="13" spans="1:9" ht="19.5" customHeight="1">
      <c r="A13" s="8" t="s">
        <v>144</v>
      </c>
      <c r="B13" s="9" t="s">
        <v>145</v>
      </c>
      <c r="C13" s="8" t="s">
        <v>146</v>
      </c>
      <c r="D13" s="16" t="s">
        <v>807</v>
      </c>
      <c r="E13" s="16" t="s">
        <v>807</v>
      </c>
      <c r="F13" s="16" t="s">
        <v>807</v>
      </c>
      <c r="G13" s="16" t="s">
        <v>807</v>
      </c>
      <c r="H13" s="17"/>
      <c r="I13" s="8">
        <f>COUNTIF(D13:H13,"1")+COUNTIF(D13:H13,"X")</f>
        <v>4</v>
      </c>
    </row>
    <row r="14" spans="1:9" ht="19.5" customHeight="1">
      <c r="A14" s="8" t="s">
        <v>144</v>
      </c>
      <c r="B14" s="9" t="s">
        <v>155</v>
      </c>
      <c r="C14" s="8" t="s">
        <v>156</v>
      </c>
      <c r="D14" s="16" t="s">
        <v>807</v>
      </c>
      <c r="E14" s="16" t="s">
        <v>807</v>
      </c>
      <c r="F14" s="17"/>
      <c r="G14" s="17"/>
      <c r="H14" s="16" t="s">
        <v>807</v>
      </c>
      <c r="I14" s="8">
        <f>COUNTIF(D14:H14,"1")+COUNTIF(D14:H14,"X")</f>
        <v>3</v>
      </c>
    </row>
    <row r="15" spans="1:9" ht="19.5" customHeight="1">
      <c r="A15" s="8" t="s">
        <v>144</v>
      </c>
      <c r="B15" s="9" t="s">
        <v>163</v>
      </c>
      <c r="C15" s="8" t="s">
        <v>164</v>
      </c>
      <c r="D15" s="16" t="s">
        <v>807</v>
      </c>
      <c r="E15" s="17"/>
      <c r="F15" s="16" t="s">
        <v>807</v>
      </c>
      <c r="G15" s="17"/>
      <c r="H15" s="16" t="s">
        <v>807</v>
      </c>
      <c r="I15" s="8">
        <f>COUNTIF(D15:H15,"1")+COUNTIF(D15:H15,"X")</f>
        <v>3</v>
      </c>
    </row>
    <row r="16" spans="1:9" ht="19.5" customHeight="1">
      <c r="A16" s="8" t="s">
        <v>144</v>
      </c>
      <c r="B16" s="9" t="s">
        <v>173</v>
      </c>
      <c r="C16" s="8" t="s">
        <v>174</v>
      </c>
      <c r="D16" s="16" t="s">
        <v>807</v>
      </c>
      <c r="E16" s="17"/>
      <c r="F16" s="16" t="s">
        <v>807</v>
      </c>
      <c r="G16" s="16" t="s">
        <v>807</v>
      </c>
      <c r="H16" s="16" t="s">
        <v>807</v>
      </c>
      <c r="I16" s="8">
        <f>COUNTIF(D16:H16,"1")+COUNTIF(D16:H16,"X")</f>
        <v>4</v>
      </c>
    </row>
    <row r="17" spans="1:9" ht="19.5" customHeight="1">
      <c r="A17" s="8" t="s">
        <v>184</v>
      </c>
      <c r="B17" s="9" t="s">
        <v>185</v>
      </c>
      <c r="C17" s="8" t="s">
        <v>186</v>
      </c>
      <c r="D17" s="17"/>
      <c r="E17" s="16" t="s">
        <v>807</v>
      </c>
      <c r="F17" s="17"/>
      <c r="G17" s="16" t="s">
        <v>807</v>
      </c>
      <c r="H17" s="16" t="s">
        <v>807</v>
      </c>
      <c r="I17" s="8">
        <f>COUNTIF(D17:H17,"1")+COUNTIF(D17:H17,"X")</f>
        <v>3</v>
      </c>
    </row>
    <row r="18" spans="1:9" ht="19.5" customHeight="1">
      <c r="A18" s="8" t="s">
        <v>184</v>
      </c>
      <c r="B18" s="9" t="s">
        <v>193</v>
      </c>
      <c r="C18" s="8" t="s">
        <v>194</v>
      </c>
      <c r="D18" s="17"/>
      <c r="E18" s="17"/>
      <c r="F18" s="16" t="s">
        <v>807</v>
      </c>
      <c r="G18" s="16" t="s">
        <v>807</v>
      </c>
      <c r="H18" s="16" t="s">
        <v>807</v>
      </c>
      <c r="I18" s="8">
        <f>COUNTIF(D18:H18,"1")+COUNTIF(D18:H18,"X")</f>
        <v>3</v>
      </c>
    </row>
    <row r="19" spans="1:9" ht="19.5" customHeight="1">
      <c r="A19" s="8" t="s">
        <v>184</v>
      </c>
      <c r="B19" s="9" t="s">
        <v>202</v>
      </c>
      <c r="C19" s="8" t="s">
        <v>203</v>
      </c>
      <c r="D19" s="16" t="s">
        <v>807</v>
      </c>
      <c r="E19" s="17"/>
      <c r="F19" s="17"/>
      <c r="G19" s="16" t="s">
        <v>807</v>
      </c>
      <c r="H19" s="16" t="s">
        <v>807</v>
      </c>
      <c r="I19" s="8">
        <f>COUNTIF(D19:H19,"1")+COUNTIF(D19:H19,"X")</f>
        <v>3</v>
      </c>
    </row>
    <row r="20" spans="1:9" ht="19.5" customHeight="1">
      <c r="A20" s="8" t="s">
        <v>184</v>
      </c>
      <c r="B20" s="9" t="s">
        <v>211</v>
      </c>
      <c r="C20" s="8" t="s">
        <v>212</v>
      </c>
      <c r="D20" s="17"/>
      <c r="E20" s="17"/>
      <c r="F20" s="16" t="s">
        <v>807</v>
      </c>
      <c r="G20" s="17"/>
      <c r="H20" s="16" t="s">
        <v>807</v>
      </c>
      <c r="I20" s="8">
        <f>COUNTIF(D20:H20,"1")+COUNTIF(D20:H20,"X")</f>
        <v>2</v>
      </c>
    </row>
    <row r="21" spans="1:9" ht="19.5" customHeight="1">
      <c r="A21" s="8" t="s">
        <v>219</v>
      </c>
      <c r="B21" s="11" t="s">
        <v>220</v>
      </c>
      <c r="C21" s="8" t="s">
        <v>221</v>
      </c>
      <c r="D21" s="18" t="s">
        <v>219</v>
      </c>
      <c r="E21" s="18" t="s">
        <v>219</v>
      </c>
      <c r="F21" s="18" t="s">
        <v>219</v>
      </c>
      <c r="G21" s="18" t="s">
        <v>219</v>
      </c>
      <c r="H21" s="18" t="s">
        <v>219</v>
      </c>
      <c r="I21" s="8">
        <f>COUNTIF(D21:H21,"1")+COUNTIF(D21:H21,"X")</f>
        <v>5</v>
      </c>
    </row>
    <row r="22" spans="1:9" ht="19.5" customHeight="1">
      <c r="A22" s="8" t="s">
        <v>219</v>
      </c>
      <c r="B22" s="11" t="s">
        <v>227</v>
      </c>
      <c r="C22" s="8" t="s">
        <v>228</v>
      </c>
      <c r="D22" s="17"/>
      <c r="E22" s="17"/>
      <c r="F22" s="18" t="s">
        <v>219</v>
      </c>
      <c r="G22" s="18" t="s">
        <v>219</v>
      </c>
      <c r="H22" s="18" t="s">
        <v>219</v>
      </c>
      <c r="I22" s="8">
        <f>COUNTIF(D22:H22,"1")+COUNTIF(D22:H22,"X")</f>
        <v>3</v>
      </c>
    </row>
    <row r="23" spans="1:9" ht="19.5" customHeight="1">
      <c r="A23" s="8" t="s">
        <v>219</v>
      </c>
      <c r="B23" s="11" t="s">
        <v>236</v>
      </c>
      <c r="C23" s="8" t="s">
        <v>237</v>
      </c>
      <c r="D23" s="18" t="s">
        <v>219</v>
      </c>
      <c r="E23" s="17"/>
      <c r="F23" s="18" t="s">
        <v>219</v>
      </c>
      <c r="G23" s="17"/>
      <c r="H23" s="18" t="s">
        <v>219</v>
      </c>
      <c r="I23" s="8">
        <f>COUNTIF(D23:H23,"1")+COUNTIF(D23:H23,"X")</f>
        <v>3</v>
      </c>
    </row>
    <row r="24" spans="1:9" ht="15" customHeight="1">
      <c r="A24" s="19"/>
      <c r="B24" s="19"/>
      <c r="C24" s="20" t="s">
        <v>808</v>
      </c>
      <c r="D24" s="19">
        <f>COUNTIF(D2:D23,"1")</f>
        <v>12</v>
      </c>
      <c r="E24" s="19">
        <f>COUNTIF(E2:E23,"1")</f>
        <v>8</v>
      </c>
      <c r="F24" s="19">
        <f>COUNTIF(F2:F23,"1")</f>
        <v>13</v>
      </c>
      <c r="G24" s="19">
        <f>COUNTIF(G2:G23,"1")</f>
        <v>10</v>
      </c>
      <c r="H24" s="19">
        <f>COUNTIF(H2:H23,"1")</f>
        <v>16</v>
      </c>
      <c r="I24" s="19">
        <f>SUM(D24:H24)</f>
        <v>59</v>
      </c>
    </row>
    <row r="25" spans="1:9" ht="15" customHeight="1">
      <c r="C25" s="21" t="s">
        <v>809</v>
      </c>
      <c r="D25" s="21">
        <f>19*5</f>
        <v>95</v>
      </c>
      <c r="E25" s="21" t="s">
        <v>810</v>
      </c>
      <c r="F25" s="21">
        <f>SUM(D24:H24)</f>
        <v>59</v>
      </c>
    </row>
    <row r="27" spans="1:9" ht="45.75" customHeight="1">
      <c r="A27" s="22" t="s">
        <v>811</v>
      </c>
      <c r="C27" s="15" t="s">
        <v>812</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8"/>
  <sheetViews>
    <sheetView tabSelected="1" zoomScaleNormal="100" workbookViewId="0">
      <pane ySplit="1" topLeftCell="A2" activePane="bottomLeft" state="frozen"/>
      <selection pane="bottomLeft"/>
    </sheetView>
  </sheetViews>
  <sheetFormatPr defaultColWidth="8.7109375" defaultRowHeight="15"/>
  <cols>
    <col min="1" max="1" width="8" customWidth="1"/>
    <col min="2" max="3" width="30" customWidth="1"/>
    <col min="4" max="4" width="66" customWidth="1"/>
    <col min="5" max="5" width="62" customWidth="1"/>
  </cols>
  <sheetData>
    <row r="1" spans="1:5" ht="25.5" customHeight="1">
      <c r="A1" s="4" t="s">
        <v>813</v>
      </c>
      <c r="B1" s="4" t="s">
        <v>521</v>
      </c>
      <c r="C1" s="4" t="s">
        <v>814</v>
      </c>
      <c r="D1" s="4" t="s">
        <v>815</v>
      </c>
      <c r="E1" s="4" t="s">
        <v>816</v>
      </c>
    </row>
    <row r="2" spans="1:5" ht="51.75" customHeight="1">
      <c r="A2" s="5" t="s">
        <v>528</v>
      </c>
      <c r="B2" s="8" t="s">
        <v>529</v>
      </c>
      <c r="C2" s="8" t="s">
        <v>817</v>
      </c>
      <c r="D2" s="8" t="s">
        <v>818</v>
      </c>
      <c r="E2" s="8" t="s">
        <v>819</v>
      </c>
    </row>
    <row r="3" spans="1:5" ht="51.75" customHeight="1">
      <c r="A3" s="5" t="s">
        <v>562</v>
      </c>
      <c r="B3" s="8" t="s">
        <v>563</v>
      </c>
      <c r="C3" s="8" t="s">
        <v>820</v>
      </c>
      <c r="D3" s="8" t="s">
        <v>821</v>
      </c>
      <c r="E3" s="8" t="s">
        <v>822</v>
      </c>
    </row>
    <row r="4" spans="1:5" ht="51.75" customHeight="1">
      <c r="A4" s="5" t="s">
        <v>534</v>
      </c>
      <c r="B4" s="8" t="s">
        <v>535</v>
      </c>
      <c r="C4" s="8" t="s">
        <v>823</v>
      </c>
      <c r="D4" s="8" t="s">
        <v>824</v>
      </c>
      <c r="E4" s="8" t="s">
        <v>825</v>
      </c>
    </row>
    <row r="5" spans="1:5" ht="51.75" customHeight="1">
      <c r="A5" s="5" t="s">
        <v>569</v>
      </c>
      <c r="B5" s="8" t="s">
        <v>570</v>
      </c>
      <c r="C5" s="8" t="s">
        <v>826</v>
      </c>
      <c r="D5" s="8" t="s">
        <v>827</v>
      </c>
      <c r="E5" s="8" t="s">
        <v>828</v>
      </c>
    </row>
    <row r="6" spans="1:5" ht="51.75" customHeight="1">
      <c r="A6" s="5" t="s">
        <v>540</v>
      </c>
      <c r="B6" s="8" t="s">
        <v>541</v>
      </c>
      <c r="C6" s="8" t="s">
        <v>829</v>
      </c>
      <c r="D6" s="8" t="s">
        <v>830</v>
      </c>
      <c r="E6" s="8" t="s">
        <v>831</v>
      </c>
    </row>
    <row r="8" spans="1:5" ht="60" customHeight="1">
      <c r="A8" s="22" t="s">
        <v>832</v>
      </c>
      <c r="B8" s="15" t="s">
        <v>833</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9"/>
  <sheetViews>
    <sheetView zoomScaleNormal="100" workbookViewId="0">
      <pane ySplit="1" topLeftCell="A2" activePane="bottomLeft" state="frozen"/>
      <selection pane="bottomLeft"/>
    </sheetView>
  </sheetViews>
  <sheetFormatPr defaultColWidth="8.7109375" defaultRowHeight="15"/>
  <cols>
    <col min="1" max="1" width="14" customWidth="1"/>
    <col min="2" max="2" width="40" customWidth="1"/>
    <col min="3" max="3" width="26" customWidth="1"/>
    <col min="4" max="4" width="18" customWidth="1"/>
    <col min="5" max="5" width="26" customWidth="1"/>
    <col min="6" max="6" width="66" customWidth="1"/>
  </cols>
  <sheetData>
    <row r="1" spans="1:6" ht="25.5" customHeight="1">
      <c r="A1" s="4" t="s">
        <v>834</v>
      </c>
      <c r="B1" s="4" t="s">
        <v>835</v>
      </c>
      <c r="C1" s="4" t="s">
        <v>836</v>
      </c>
      <c r="D1" s="4" t="s">
        <v>520</v>
      </c>
      <c r="E1" s="4" t="s">
        <v>837</v>
      </c>
      <c r="F1" s="4" t="s">
        <v>838</v>
      </c>
    </row>
    <row r="2" spans="1:6" ht="42" customHeight="1">
      <c r="A2" s="23" t="s">
        <v>839</v>
      </c>
      <c r="B2" s="8" t="s">
        <v>840</v>
      </c>
      <c r="C2" s="13" t="s">
        <v>841</v>
      </c>
      <c r="D2" s="8" t="s">
        <v>562</v>
      </c>
      <c r="E2" s="24" t="s">
        <v>842</v>
      </c>
      <c r="F2" s="8"/>
    </row>
    <row r="3" spans="1:6" ht="42" customHeight="1">
      <c r="A3" s="23" t="s">
        <v>843</v>
      </c>
      <c r="B3" s="8" t="s">
        <v>844</v>
      </c>
      <c r="C3" s="13" t="s">
        <v>845</v>
      </c>
      <c r="D3" s="8" t="s">
        <v>562</v>
      </c>
      <c r="E3" s="24" t="s">
        <v>842</v>
      </c>
      <c r="F3" s="8"/>
    </row>
    <row r="4" spans="1:6" ht="42" customHeight="1">
      <c r="A4" s="23" t="s">
        <v>846</v>
      </c>
      <c r="B4" s="8" t="s">
        <v>847</v>
      </c>
      <c r="C4" s="13" t="s">
        <v>107</v>
      </c>
      <c r="D4" s="8" t="s">
        <v>848</v>
      </c>
      <c r="E4" s="24" t="s">
        <v>842</v>
      </c>
      <c r="F4" s="8"/>
    </row>
    <row r="5" spans="1:6" ht="42" customHeight="1">
      <c r="A5" s="23" t="s">
        <v>849</v>
      </c>
      <c r="B5" s="8" t="s">
        <v>850</v>
      </c>
      <c r="C5" s="13" t="s">
        <v>851</v>
      </c>
      <c r="D5" s="8" t="s">
        <v>534</v>
      </c>
      <c r="E5" s="24" t="s">
        <v>842</v>
      </c>
      <c r="F5" s="8"/>
    </row>
    <row r="6" spans="1:6" ht="42" customHeight="1">
      <c r="A6" s="23" t="s">
        <v>852</v>
      </c>
      <c r="B6" s="8" t="s">
        <v>853</v>
      </c>
      <c r="C6" s="13" t="s">
        <v>854</v>
      </c>
      <c r="D6" s="8" t="s">
        <v>534</v>
      </c>
      <c r="E6" s="24" t="s">
        <v>842</v>
      </c>
      <c r="F6" s="8"/>
    </row>
    <row r="7" spans="1:6" ht="42" customHeight="1">
      <c r="A7" s="23" t="s">
        <v>855</v>
      </c>
      <c r="B7" s="8" t="s">
        <v>856</v>
      </c>
      <c r="C7" s="13" t="s">
        <v>107</v>
      </c>
      <c r="D7" s="8" t="s">
        <v>534</v>
      </c>
      <c r="E7" s="24" t="s">
        <v>842</v>
      </c>
      <c r="F7" s="8"/>
    </row>
    <row r="8" spans="1:6" ht="42" customHeight="1">
      <c r="A8" s="23" t="s">
        <v>857</v>
      </c>
      <c r="B8" s="8" t="s">
        <v>858</v>
      </c>
      <c r="C8" s="13" t="s">
        <v>145</v>
      </c>
      <c r="D8" s="8" t="s">
        <v>859</v>
      </c>
      <c r="E8" s="24" t="s">
        <v>860</v>
      </c>
      <c r="F8" s="8" t="s">
        <v>861</v>
      </c>
    </row>
    <row r="9" spans="1:6" ht="42" customHeight="1">
      <c r="A9" s="23" t="s">
        <v>862</v>
      </c>
      <c r="B9" s="8" t="s">
        <v>863</v>
      </c>
      <c r="C9" s="13" t="s">
        <v>864</v>
      </c>
      <c r="D9" s="8" t="s">
        <v>569</v>
      </c>
      <c r="E9" s="24" t="s">
        <v>842</v>
      </c>
      <c r="F9" s="8"/>
    </row>
    <row r="10" spans="1:6" ht="42" customHeight="1">
      <c r="A10" s="23" t="s">
        <v>865</v>
      </c>
      <c r="B10" s="8" t="s">
        <v>866</v>
      </c>
      <c r="C10" s="13" t="s">
        <v>867</v>
      </c>
      <c r="D10" s="8" t="s">
        <v>569</v>
      </c>
      <c r="E10" s="24" t="s">
        <v>842</v>
      </c>
      <c r="F10" s="8"/>
    </row>
    <row r="11" spans="1:6" ht="42" customHeight="1">
      <c r="A11" s="23" t="s">
        <v>868</v>
      </c>
      <c r="B11" s="8" t="s">
        <v>869</v>
      </c>
      <c r="C11" s="13" t="s">
        <v>173</v>
      </c>
      <c r="D11" s="8" t="s">
        <v>569</v>
      </c>
      <c r="E11" s="24" t="s">
        <v>842</v>
      </c>
      <c r="F11" s="8"/>
    </row>
    <row r="12" spans="1:6" ht="42" customHeight="1">
      <c r="A12" s="23" t="s">
        <v>870</v>
      </c>
      <c r="B12" s="8" t="s">
        <v>871</v>
      </c>
      <c r="C12" s="13" t="s">
        <v>173</v>
      </c>
      <c r="D12" s="8" t="s">
        <v>872</v>
      </c>
      <c r="E12" s="24" t="s">
        <v>860</v>
      </c>
      <c r="F12" s="8" t="s">
        <v>873</v>
      </c>
    </row>
    <row r="13" spans="1:6" ht="42" customHeight="1">
      <c r="A13" s="25" t="s">
        <v>874</v>
      </c>
      <c r="B13" s="8" t="s">
        <v>875</v>
      </c>
      <c r="C13" s="26" t="s">
        <v>220</v>
      </c>
      <c r="D13" s="8" t="s">
        <v>876</v>
      </c>
      <c r="E13" s="27" t="s">
        <v>877</v>
      </c>
      <c r="F13" s="8" t="s">
        <v>878</v>
      </c>
    </row>
    <row r="14" spans="1:6" ht="42" customHeight="1">
      <c r="A14" s="23" t="s">
        <v>879</v>
      </c>
      <c r="B14" s="8" t="s">
        <v>880</v>
      </c>
      <c r="C14" s="13" t="s">
        <v>135</v>
      </c>
      <c r="D14" s="8" t="s">
        <v>380</v>
      </c>
      <c r="E14" s="24" t="s">
        <v>842</v>
      </c>
      <c r="F14" s="8"/>
    </row>
    <row r="15" spans="1:6" ht="42" customHeight="1">
      <c r="A15" s="25" t="s">
        <v>881</v>
      </c>
      <c r="B15" s="8" t="s">
        <v>882</v>
      </c>
      <c r="C15" s="26" t="s">
        <v>227</v>
      </c>
      <c r="D15" s="8" t="s">
        <v>883</v>
      </c>
      <c r="E15" s="27" t="s">
        <v>884</v>
      </c>
      <c r="F15" s="8" t="s">
        <v>885</v>
      </c>
    </row>
    <row r="16" spans="1:6" ht="42" customHeight="1">
      <c r="A16" s="25" t="s">
        <v>886</v>
      </c>
      <c r="B16" s="8" t="s">
        <v>887</v>
      </c>
      <c r="C16" s="26" t="s">
        <v>236</v>
      </c>
      <c r="D16" s="8" t="s">
        <v>263</v>
      </c>
      <c r="E16" s="27" t="s">
        <v>877</v>
      </c>
      <c r="F16" s="8" t="s">
        <v>888</v>
      </c>
    </row>
    <row r="17" spans="1:6" ht="42" customHeight="1">
      <c r="A17" s="23" t="s">
        <v>889</v>
      </c>
      <c r="B17" s="8" t="s">
        <v>890</v>
      </c>
      <c r="C17" s="13" t="s">
        <v>891</v>
      </c>
      <c r="D17" s="8" t="s">
        <v>540</v>
      </c>
      <c r="E17" s="24" t="s">
        <v>842</v>
      </c>
      <c r="F17" s="8"/>
    </row>
    <row r="19" spans="1:6" ht="15" customHeight="1">
      <c r="A19" s="22" t="s">
        <v>892</v>
      </c>
      <c r="B19" s="22" t="str">
        <f>(COUNTIF(E2:E18,"clean")+COUNTIF(E2:E18,"collapses into P2"))&amp;" of 16 absorb into the widened core ("&amp;COUNTIF(E2:E18,"clean")&amp;" clean, "&amp;COUNTIF(E2:E18,"collapses into P2")&amp;" collapse into the P2 perspective) · "&amp;(COUNTIF(E2:E18,"no host — Stratum X")+COUNTIF(E2:E18,"contested — kept discrete"))&amp;" become Stratum X"</f>
        <v>13 of 16 absorb into the widened core (11 clean, 2 collapse into the P2 perspective) · 3 become Stratum X</v>
      </c>
    </row>
    <row r="21" spans="1:6" ht="21.75" customHeight="1">
      <c r="A21" s="4" t="s">
        <v>893</v>
      </c>
      <c r="B21" s="4" t="s">
        <v>894</v>
      </c>
      <c r="C21" s="4" t="s">
        <v>895</v>
      </c>
    </row>
    <row r="22" spans="1:6" ht="30" customHeight="1">
      <c r="A22" s="28" t="s">
        <v>896</v>
      </c>
      <c r="B22" s="8" t="s">
        <v>897</v>
      </c>
      <c r="C22" s="7" t="s">
        <v>898</v>
      </c>
    </row>
    <row r="23" spans="1:6" ht="30" customHeight="1">
      <c r="A23" s="28" t="s">
        <v>899</v>
      </c>
      <c r="B23" s="8" t="s">
        <v>900</v>
      </c>
      <c r="C23" s="7" t="s">
        <v>901</v>
      </c>
    </row>
    <row r="24" spans="1:6" ht="30" customHeight="1">
      <c r="A24" s="28" t="s">
        <v>902</v>
      </c>
      <c r="B24" s="8" t="s">
        <v>903</v>
      </c>
      <c r="C24" s="7" t="s">
        <v>904</v>
      </c>
    </row>
    <row r="25" spans="1:6" ht="30" customHeight="1">
      <c r="A25" s="28" t="s">
        <v>15</v>
      </c>
      <c r="B25" s="8" t="s">
        <v>905</v>
      </c>
      <c r="C25" s="7" t="s">
        <v>906</v>
      </c>
    </row>
    <row r="26" spans="1:6" ht="30" customHeight="1">
      <c r="A26" s="28" t="s">
        <v>907</v>
      </c>
      <c r="B26" s="8" t="s">
        <v>908</v>
      </c>
      <c r="C26" s="7" t="s">
        <v>909</v>
      </c>
    </row>
    <row r="27" spans="1:6" ht="30" customHeight="1">
      <c r="A27" s="28" t="s">
        <v>910</v>
      </c>
      <c r="B27" s="8" t="s">
        <v>911</v>
      </c>
      <c r="C27" s="7" t="s">
        <v>912</v>
      </c>
    </row>
    <row r="28" spans="1:6" ht="30" customHeight="1">
      <c r="A28" s="28" t="s">
        <v>913</v>
      </c>
      <c r="B28" s="8" t="s">
        <v>914</v>
      </c>
      <c r="C28" s="7" t="s">
        <v>915</v>
      </c>
    </row>
    <row r="29" spans="1:6" ht="30" customHeight="1">
      <c r="A29" s="28" t="s">
        <v>916</v>
      </c>
      <c r="B29" s="8" t="s">
        <v>917</v>
      </c>
      <c r="C29" s="7" t="s">
        <v>918</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0"/>
  <sheetViews>
    <sheetView zoomScaleNormal="100" workbookViewId="0">
      <pane ySplit="1" topLeftCell="A2" activePane="bottomLeft" state="frozen"/>
      <selection pane="bottomLeft"/>
    </sheetView>
  </sheetViews>
  <sheetFormatPr defaultColWidth="8.7109375" defaultRowHeight="15"/>
  <cols>
    <col min="1" max="2" width="22" customWidth="1"/>
    <col min="3" max="5" width="20" customWidth="1"/>
    <col min="6" max="6" width="26" customWidth="1"/>
    <col min="7" max="7" width="24" customWidth="1"/>
    <col min="8" max="8" width="16" customWidth="1"/>
  </cols>
  <sheetData>
    <row r="1" spans="1:8" ht="31.5" customHeight="1">
      <c r="A1" s="4" t="s">
        <v>919</v>
      </c>
      <c r="B1" s="4" t="s">
        <v>920</v>
      </c>
      <c r="C1" s="4" t="s">
        <v>921</v>
      </c>
      <c r="D1" s="4" t="s">
        <v>35</v>
      </c>
      <c r="E1" s="4" t="s">
        <v>922</v>
      </c>
      <c r="F1" s="4" t="s">
        <v>923</v>
      </c>
      <c r="G1" s="4" t="s">
        <v>924</v>
      </c>
      <c r="H1" s="4" t="s">
        <v>925</v>
      </c>
    </row>
    <row r="2" spans="1:8" ht="15" customHeight="1">
      <c r="A2" s="6" t="s">
        <v>251</v>
      </c>
      <c r="B2" s="6" t="s">
        <v>926</v>
      </c>
      <c r="C2" s="6" t="s">
        <v>927</v>
      </c>
      <c r="D2" s="6" t="s">
        <v>927</v>
      </c>
      <c r="E2" s="6" t="s">
        <v>928</v>
      </c>
      <c r="F2" s="6" t="s">
        <v>929</v>
      </c>
      <c r="G2" s="6" t="s">
        <v>930</v>
      </c>
      <c r="H2" s="6" t="s">
        <v>931</v>
      </c>
    </row>
    <row r="3" spans="1:8" ht="15" customHeight="1">
      <c r="A3" s="6" t="s">
        <v>252</v>
      </c>
      <c r="B3" s="6" t="s">
        <v>932</v>
      </c>
      <c r="C3" s="6" t="s">
        <v>933</v>
      </c>
      <c r="D3" s="6" t="s">
        <v>933</v>
      </c>
      <c r="E3" s="6" t="s">
        <v>934</v>
      </c>
      <c r="F3" s="6" t="s">
        <v>935</v>
      </c>
      <c r="G3" s="6" t="s">
        <v>936</v>
      </c>
      <c r="H3" s="6" t="s">
        <v>937</v>
      </c>
    </row>
    <row r="4" spans="1:8" ht="15" customHeight="1">
      <c r="A4" s="6" t="s">
        <v>253</v>
      </c>
      <c r="B4" s="6" t="s">
        <v>938</v>
      </c>
      <c r="C4" s="6" t="s">
        <v>253</v>
      </c>
      <c r="D4" s="6" t="s">
        <v>253</v>
      </c>
      <c r="E4" s="6" t="s">
        <v>939</v>
      </c>
      <c r="F4" s="6" t="s">
        <v>940</v>
      </c>
      <c r="G4" s="6" t="s">
        <v>941</v>
      </c>
      <c r="H4" s="6" t="s">
        <v>942</v>
      </c>
    </row>
    <row r="6" spans="1:8" ht="85.15" customHeight="1">
      <c r="A6" s="22" t="s">
        <v>943</v>
      </c>
      <c r="B6" s="15" t="s">
        <v>944</v>
      </c>
    </row>
    <row r="8" spans="1:8" ht="15" customHeight="1">
      <c r="A8" s="29" t="s">
        <v>945</v>
      </c>
    </row>
    <row r="9" spans="1:8" ht="19.5" customHeight="1">
      <c r="A9" s="4" t="s">
        <v>946</v>
      </c>
      <c r="B9" s="4" t="s">
        <v>947</v>
      </c>
      <c r="C9" s="4" t="s">
        <v>816</v>
      </c>
    </row>
    <row r="10" spans="1:8" ht="35.1" customHeight="1">
      <c r="A10" s="6" t="s">
        <v>254</v>
      </c>
      <c r="B10" s="6" t="s">
        <v>948</v>
      </c>
      <c r="C10" s="6" t="s">
        <v>949</v>
      </c>
    </row>
    <row r="11" spans="1:8" ht="35.1" customHeight="1">
      <c r="A11" s="6" t="s">
        <v>255</v>
      </c>
      <c r="B11" s="6" t="s">
        <v>950</v>
      </c>
      <c r="C11" s="6" t="s">
        <v>951</v>
      </c>
    </row>
    <row r="13" spans="1:8">
      <c r="A13" t="s">
        <v>952</v>
      </c>
    </row>
    <row r="14" spans="1:8">
      <c r="A14" t="s">
        <v>953</v>
      </c>
    </row>
    <row r="16" spans="1:8">
      <c r="A16" t="s">
        <v>954</v>
      </c>
    </row>
    <row r="17" spans="1:1">
      <c r="A17" t="s">
        <v>955</v>
      </c>
    </row>
    <row r="19" spans="1:1">
      <c r="A19" t="s">
        <v>956</v>
      </c>
    </row>
    <row r="20" spans="1:1">
      <c r="A20" t="s">
        <v>957</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7"/>
  <sheetViews>
    <sheetView zoomScaleNormal="100" workbookViewId="0">
      <pane ySplit="1" topLeftCell="A2" activePane="bottomLeft" state="frozen"/>
      <selection pane="bottomLeft"/>
    </sheetView>
  </sheetViews>
  <sheetFormatPr defaultColWidth="8.7109375" defaultRowHeight="15"/>
  <cols>
    <col min="1" max="1" width="12" customWidth="1"/>
    <col min="2" max="2" width="44" customWidth="1"/>
    <col min="3" max="3" width="84" customWidth="1"/>
    <col min="4" max="4" width="32" customWidth="1"/>
  </cols>
  <sheetData>
    <row r="1" spans="1:4" ht="27.75" customHeight="1">
      <c r="A1" s="4" t="s">
        <v>958</v>
      </c>
      <c r="B1" s="4" t="s">
        <v>959</v>
      </c>
      <c r="C1" s="4" t="s">
        <v>960</v>
      </c>
      <c r="D1" s="4" t="s">
        <v>961</v>
      </c>
    </row>
    <row r="2" spans="1:4" ht="42" customHeight="1">
      <c r="A2" s="5" t="s">
        <v>962</v>
      </c>
      <c r="B2" s="8" t="s">
        <v>963</v>
      </c>
      <c r="C2" s="8" t="s">
        <v>964</v>
      </c>
      <c r="D2" s="8" t="s">
        <v>965</v>
      </c>
    </row>
    <row r="3" spans="1:4" ht="42" customHeight="1">
      <c r="A3" s="5" t="s">
        <v>966</v>
      </c>
      <c r="B3" s="8" t="s">
        <v>967</v>
      </c>
      <c r="C3" s="8" t="s">
        <v>968</v>
      </c>
      <c r="D3" s="8" t="s">
        <v>969</v>
      </c>
    </row>
    <row r="4" spans="1:4" ht="42" customHeight="1">
      <c r="A4" s="5" t="s">
        <v>970</v>
      </c>
      <c r="B4" s="8" t="s">
        <v>971</v>
      </c>
      <c r="C4" s="8" t="s">
        <v>972</v>
      </c>
      <c r="D4" s="8" t="s">
        <v>965</v>
      </c>
    </row>
    <row r="5" spans="1:4" ht="42" customHeight="1">
      <c r="A5" s="5" t="s">
        <v>271</v>
      </c>
      <c r="B5" s="8" t="s">
        <v>973</v>
      </c>
      <c r="C5" s="8" t="s">
        <v>974</v>
      </c>
      <c r="D5" s="8" t="s">
        <v>975</v>
      </c>
    </row>
    <row r="6" spans="1:4" ht="42" customHeight="1">
      <c r="A6" s="5" t="s">
        <v>401</v>
      </c>
      <c r="B6" s="8" t="s">
        <v>976</v>
      </c>
      <c r="C6" s="8" t="s">
        <v>977</v>
      </c>
      <c r="D6" s="8" t="s">
        <v>978</v>
      </c>
    </row>
    <row r="7" spans="1:4" ht="42" customHeight="1">
      <c r="A7" s="5" t="s">
        <v>294</v>
      </c>
      <c r="B7" s="8" t="s">
        <v>979</v>
      </c>
      <c r="C7" s="8" t="s">
        <v>980</v>
      </c>
      <c r="D7" s="8" t="s">
        <v>981</v>
      </c>
    </row>
    <row r="8" spans="1:4" ht="42" customHeight="1">
      <c r="A8" s="5" t="s">
        <v>982</v>
      </c>
      <c r="B8" s="8" t="s">
        <v>983</v>
      </c>
      <c r="C8" s="8" t="s">
        <v>984</v>
      </c>
      <c r="D8" s="8" t="s">
        <v>985</v>
      </c>
    </row>
    <row r="9" spans="1:4" ht="42" customHeight="1">
      <c r="A9" s="5" t="s">
        <v>340</v>
      </c>
      <c r="B9" s="8" t="s">
        <v>986</v>
      </c>
      <c r="C9" s="8" t="s">
        <v>987</v>
      </c>
      <c r="D9" s="8" t="s">
        <v>988</v>
      </c>
    </row>
    <row r="10" spans="1:4" ht="42" customHeight="1">
      <c r="A10" s="5" t="s">
        <v>989</v>
      </c>
      <c r="B10" s="8" t="s">
        <v>990</v>
      </c>
      <c r="C10" s="8" t="s">
        <v>991</v>
      </c>
      <c r="D10" s="8" t="s">
        <v>992</v>
      </c>
    </row>
    <row r="11" spans="1:4" ht="42" customHeight="1">
      <c r="A11" s="5" t="s">
        <v>317</v>
      </c>
      <c r="B11" s="8" t="s">
        <v>993</v>
      </c>
      <c r="C11" s="8" t="s">
        <v>994</v>
      </c>
      <c r="D11" s="8" t="s">
        <v>995</v>
      </c>
    </row>
    <row r="12" spans="1:4" ht="42" customHeight="1">
      <c r="A12" s="5" t="s">
        <v>996</v>
      </c>
      <c r="B12" s="8" t="s">
        <v>997</v>
      </c>
      <c r="C12" s="8" t="s">
        <v>998</v>
      </c>
      <c r="D12" s="8" t="s">
        <v>999</v>
      </c>
    </row>
    <row r="13" spans="1:4" ht="42" customHeight="1">
      <c r="A13" s="5" t="s">
        <v>1000</v>
      </c>
      <c r="B13" s="8" t="s">
        <v>1001</v>
      </c>
      <c r="C13" s="8" t="s">
        <v>1002</v>
      </c>
      <c r="D13" s="8" t="s">
        <v>1003</v>
      </c>
    </row>
    <row r="14" spans="1:4" ht="42" customHeight="1">
      <c r="A14" s="5" t="s">
        <v>518</v>
      </c>
      <c r="B14" s="8" t="s">
        <v>1004</v>
      </c>
      <c r="C14" s="8" t="s">
        <v>1005</v>
      </c>
      <c r="D14" s="8" t="s">
        <v>1006</v>
      </c>
    </row>
    <row r="15" spans="1:4" ht="42" customHeight="1">
      <c r="A15" s="5" t="s">
        <v>1007</v>
      </c>
      <c r="B15" s="8" t="s">
        <v>1008</v>
      </c>
      <c r="C15" s="8" t="s">
        <v>1009</v>
      </c>
      <c r="D15" s="8" t="s">
        <v>965</v>
      </c>
    </row>
    <row r="16" spans="1:4" ht="42" customHeight="1">
      <c r="A16" s="5" t="s">
        <v>1010</v>
      </c>
      <c r="B16" s="8" t="s">
        <v>1011</v>
      </c>
      <c r="C16" s="8" t="s">
        <v>1012</v>
      </c>
      <c r="D16" s="8" t="s">
        <v>1013</v>
      </c>
    </row>
    <row r="17" spans="1:4" ht="42" customHeight="1">
      <c r="A17" s="5" t="s">
        <v>1014</v>
      </c>
      <c r="B17" s="8" t="s">
        <v>1015</v>
      </c>
      <c r="C17" s="8" t="s">
        <v>1016</v>
      </c>
      <c r="D17" s="8" t="s">
        <v>1017</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4"/>
  <sheetViews>
    <sheetView zoomScaleNormal="100" workbookViewId="0">
      <pane ySplit="1" topLeftCell="A2" activePane="bottomLeft" state="frozen"/>
      <selection pane="bottomLeft"/>
    </sheetView>
  </sheetViews>
  <sheetFormatPr defaultColWidth="8.7109375" defaultRowHeight="15"/>
  <cols>
    <col min="1" max="1" width="24" customWidth="1"/>
    <col min="2" max="2" width="46" customWidth="1"/>
    <col min="3" max="3" width="20" customWidth="1"/>
    <col min="4" max="4" width="64" customWidth="1"/>
    <col min="5" max="5" width="34" customWidth="1"/>
  </cols>
  <sheetData>
    <row r="1" spans="1:5" ht="27.75" customHeight="1">
      <c r="A1" s="4" t="s">
        <v>1018</v>
      </c>
      <c r="B1" s="4" t="s">
        <v>520</v>
      </c>
      <c r="C1" s="4" t="s">
        <v>1019</v>
      </c>
      <c r="D1" s="4" t="s">
        <v>1020</v>
      </c>
      <c r="E1" s="4" t="s">
        <v>1021</v>
      </c>
    </row>
    <row r="2" spans="1:5" ht="45.75" customHeight="1">
      <c r="A2" s="13" t="s">
        <v>1022</v>
      </c>
      <c r="B2" s="8" t="s">
        <v>1023</v>
      </c>
      <c r="C2" s="8" t="s">
        <v>1024</v>
      </c>
      <c r="D2" s="8" t="s">
        <v>1025</v>
      </c>
      <c r="E2" s="8" t="s">
        <v>1026</v>
      </c>
    </row>
    <row r="3" spans="1:5" ht="45.75" customHeight="1">
      <c r="A3" s="13" t="s">
        <v>1027</v>
      </c>
      <c r="B3" s="8" t="s">
        <v>1028</v>
      </c>
      <c r="C3" s="8" t="s">
        <v>1029</v>
      </c>
      <c r="D3" s="8" t="s">
        <v>1030</v>
      </c>
      <c r="E3" s="8" t="s">
        <v>1031</v>
      </c>
    </row>
    <row r="4" spans="1:5" ht="45.75" customHeight="1">
      <c r="A4" s="13" t="s">
        <v>1032</v>
      </c>
      <c r="B4" s="8" t="s">
        <v>1033</v>
      </c>
      <c r="C4" s="8" t="s">
        <v>1034</v>
      </c>
      <c r="D4" s="8" t="s">
        <v>1035</v>
      </c>
      <c r="E4" s="8" t="s">
        <v>1036</v>
      </c>
    </row>
    <row r="5" spans="1:5" ht="45.75" customHeight="1">
      <c r="A5" s="13" t="s">
        <v>1037</v>
      </c>
      <c r="B5" s="8" t="s">
        <v>1038</v>
      </c>
      <c r="C5" s="8" t="s">
        <v>1034</v>
      </c>
      <c r="D5" s="8" t="s">
        <v>1039</v>
      </c>
      <c r="E5" s="8" t="s">
        <v>1040</v>
      </c>
    </row>
    <row r="6" spans="1:5" ht="45.75" customHeight="1">
      <c r="A6" s="13" t="s">
        <v>1041</v>
      </c>
      <c r="B6" s="8" t="s">
        <v>1042</v>
      </c>
      <c r="C6" s="8" t="s">
        <v>1043</v>
      </c>
      <c r="D6" s="8" t="s">
        <v>1044</v>
      </c>
      <c r="E6" s="8" t="s">
        <v>1045</v>
      </c>
    </row>
    <row r="7" spans="1:5" ht="45.75" customHeight="1">
      <c r="A7" s="13" t="s">
        <v>1046</v>
      </c>
      <c r="B7" s="8" t="s">
        <v>1047</v>
      </c>
      <c r="C7" s="8" t="s">
        <v>1043</v>
      </c>
      <c r="D7" s="8" t="s">
        <v>1048</v>
      </c>
      <c r="E7" s="8" t="s">
        <v>1049</v>
      </c>
    </row>
    <row r="8" spans="1:5" ht="45.75" customHeight="1">
      <c r="A8" s="13" t="s">
        <v>1050</v>
      </c>
      <c r="B8" s="8" t="s">
        <v>1051</v>
      </c>
      <c r="C8" s="8" t="s">
        <v>1043</v>
      </c>
      <c r="D8" s="8" t="s">
        <v>1052</v>
      </c>
      <c r="E8" s="8" t="s">
        <v>1053</v>
      </c>
    </row>
    <row r="9" spans="1:5" ht="45.75" customHeight="1">
      <c r="A9" s="13" t="s">
        <v>1054</v>
      </c>
      <c r="B9" s="8" t="s">
        <v>1055</v>
      </c>
      <c r="C9" s="8" t="s">
        <v>1043</v>
      </c>
      <c r="D9" s="8" t="s">
        <v>1056</v>
      </c>
      <c r="E9" s="8" t="s">
        <v>1057</v>
      </c>
    </row>
    <row r="10" spans="1:5" ht="45.75" customHeight="1">
      <c r="A10" s="13" t="s">
        <v>1058</v>
      </c>
      <c r="B10" s="8" t="s">
        <v>1059</v>
      </c>
      <c r="C10" s="8" t="s">
        <v>1060</v>
      </c>
      <c r="D10" s="8" t="s">
        <v>1061</v>
      </c>
      <c r="E10" s="8" t="s">
        <v>1062</v>
      </c>
    </row>
    <row r="11" spans="1:5" ht="45.75" customHeight="1">
      <c r="A11" s="13" t="s">
        <v>1063</v>
      </c>
      <c r="B11" s="8" t="s">
        <v>1064</v>
      </c>
      <c r="C11" s="8" t="s">
        <v>1043</v>
      </c>
      <c r="D11" s="8" t="s">
        <v>1065</v>
      </c>
      <c r="E11" s="8" t="s">
        <v>1066</v>
      </c>
    </row>
    <row r="12" spans="1:5" ht="45.75" customHeight="1">
      <c r="A12" s="13" t="s">
        <v>1067</v>
      </c>
      <c r="B12" s="8" t="s">
        <v>1068</v>
      </c>
      <c r="C12" s="8" t="s">
        <v>1043</v>
      </c>
      <c r="D12" s="8" t="s">
        <v>1069</v>
      </c>
      <c r="E12" s="8" t="s">
        <v>1070</v>
      </c>
    </row>
    <row r="14" spans="1:5" ht="53.65" customHeight="1">
      <c r="A14" s="22" t="s">
        <v>1071</v>
      </c>
      <c r="B14" s="15" t="s">
        <v>1072</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3"/>
  <sheetViews>
    <sheetView zoomScaleNormal="100" workbookViewId="0">
      <pane ySplit="1" topLeftCell="A2" activePane="bottomLeft" state="frozen"/>
      <selection pane="bottomLeft"/>
    </sheetView>
  </sheetViews>
  <sheetFormatPr defaultColWidth="8.7109375" defaultRowHeight="15"/>
  <cols>
    <col min="1" max="1" width="40" customWidth="1"/>
    <col min="2" max="2" width="94" customWidth="1"/>
    <col min="3" max="3" width="24" customWidth="1"/>
  </cols>
  <sheetData>
    <row r="1" spans="1:3" ht="24" customHeight="1">
      <c r="A1" s="4" t="s">
        <v>1073</v>
      </c>
      <c r="B1" s="4" t="s">
        <v>1074</v>
      </c>
      <c r="C1" s="4" t="s">
        <v>1075</v>
      </c>
    </row>
    <row r="2" spans="1:3" ht="39.75" customHeight="1">
      <c r="A2" s="30" t="s">
        <v>1076</v>
      </c>
      <c r="B2" s="8" t="s">
        <v>1077</v>
      </c>
      <c r="C2" s="8" t="s">
        <v>1078</v>
      </c>
    </row>
    <row r="3" spans="1:3" ht="39.75" customHeight="1">
      <c r="A3" s="30" t="s">
        <v>1079</v>
      </c>
      <c r="B3" s="8" t="s">
        <v>1080</v>
      </c>
      <c r="C3" s="8" t="s">
        <v>1078</v>
      </c>
    </row>
    <row r="4" spans="1:3" ht="39.75" customHeight="1">
      <c r="A4" s="30" t="s">
        <v>1081</v>
      </c>
      <c r="B4" s="8" t="s">
        <v>1082</v>
      </c>
      <c r="C4" s="8" t="s">
        <v>1083</v>
      </c>
    </row>
    <row r="5" spans="1:3" ht="39.75" customHeight="1">
      <c r="A5" s="30" t="s">
        <v>1084</v>
      </c>
      <c r="B5" s="8" t="s">
        <v>1085</v>
      </c>
      <c r="C5" s="8" t="s">
        <v>1086</v>
      </c>
    </row>
    <row r="6" spans="1:3" ht="39.75" customHeight="1">
      <c r="A6" s="30" t="s">
        <v>1087</v>
      </c>
      <c r="B6" s="8" t="s">
        <v>1088</v>
      </c>
      <c r="C6" s="8" t="s">
        <v>1086</v>
      </c>
    </row>
    <row r="7" spans="1:3" ht="39.75" customHeight="1">
      <c r="A7" s="30" t="s">
        <v>1089</v>
      </c>
      <c r="B7" s="8" t="s">
        <v>1090</v>
      </c>
      <c r="C7" s="8" t="s">
        <v>1091</v>
      </c>
    </row>
    <row r="9" spans="1:3">
      <c r="A9" t="s">
        <v>1092</v>
      </c>
    </row>
    <row r="10" spans="1:3">
      <c r="A10" t="s">
        <v>1093</v>
      </c>
      <c r="B10" t="s">
        <v>1094</v>
      </c>
      <c r="C10" t="s">
        <v>1078</v>
      </c>
    </row>
    <row r="11" spans="1:3">
      <c r="A11" t="s">
        <v>1095</v>
      </c>
      <c r="B11" t="s">
        <v>1096</v>
      </c>
      <c r="C11" t="s">
        <v>1078</v>
      </c>
    </row>
    <row r="12" spans="1:3">
      <c r="A12" t="s">
        <v>1097</v>
      </c>
      <c r="B12" t="s">
        <v>1098</v>
      </c>
      <c r="C12" t="s">
        <v>1078</v>
      </c>
    </row>
    <row r="13" spans="1:3">
      <c r="A13" t="s">
        <v>1099</v>
      </c>
      <c r="B13" t="s">
        <v>1100</v>
      </c>
      <c r="C13" t="s">
        <v>1078</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29"/>
  <sheetViews>
    <sheetView zoomScaleNormal="100" workbookViewId="0">
      <pane ySplit="1" topLeftCell="A2" activePane="bottomLeft" state="frozen"/>
      <selection pane="bottomLeft"/>
    </sheetView>
  </sheetViews>
  <sheetFormatPr defaultColWidth="8.7109375" defaultRowHeight="15"/>
  <cols>
    <col min="1" max="1" width="6" customWidth="1"/>
    <col min="2" max="2" width="132" customWidth="1"/>
  </cols>
  <sheetData>
    <row r="1" spans="1:2" ht="21.75" customHeight="1">
      <c r="A1" s="4" t="s">
        <v>1101</v>
      </c>
      <c r="B1" s="4" t="s">
        <v>1102</v>
      </c>
    </row>
    <row r="2" spans="1:2" ht="30" customHeight="1">
      <c r="A2" s="6">
        <v>1</v>
      </c>
      <c r="B2" s="6" t="s">
        <v>1103</v>
      </c>
    </row>
    <row r="3" spans="1:2" ht="30" customHeight="1">
      <c r="A3" s="6">
        <v>2</v>
      </c>
      <c r="B3" s="6" t="s">
        <v>1104</v>
      </c>
    </row>
    <row r="4" spans="1:2" ht="30" customHeight="1">
      <c r="A4" s="6">
        <v>3</v>
      </c>
      <c r="B4" s="6" t="s">
        <v>1105</v>
      </c>
    </row>
    <row r="5" spans="1:2" ht="30" customHeight="1">
      <c r="A5" s="6">
        <v>4</v>
      </c>
      <c r="B5" s="6" t="s">
        <v>1106</v>
      </c>
    </row>
    <row r="6" spans="1:2" ht="30" customHeight="1">
      <c r="A6" s="6">
        <v>5</v>
      </c>
      <c r="B6" s="6" t="s">
        <v>1107</v>
      </c>
    </row>
    <row r="7" spans="1:2" ht="30" customHeight="1">
      <c r="A7" s="6">
        <v>6</v>
      </c>
      <c r="B7" s="6" t="s">
        <v>1108</v>
      </c>
    </row>
    <row r="8" spans="1:2" ht="30" customHeight="1">
      <c r="A8" s="6">
        <v>7</v>
      </c>
      <c r="B8" s="6" t="s">
        <v>1109</v>
      </c>
    </row>
    <row r="9" spans="1:2" ht="30" customHeight="1">
      <c r="A9" s="6">
        <v>8</v>
      </c>
      <c r="B9" s="6" t="s">
        <v>1110</v>
      </c>
    </row>
    <row r="10" spans="1:2" ht="30" customHeight="1">
      <c r="A10" s="6">
        <v>9</v>
      </c>
      <c r="B10" s="6" t="s">
        <v>1111</v>
      </c>
    </row>
    <row r="11" spans="1:2" ht="30" customHeight="1">
      <c r="A11" s="6">
        <v>10</v>
      </c>
      <c r="B11" s="6" t="s">
        <v>1112</v>
      </c>
    </row>
    <row r="12" spans="1:2" ht="30" customHeight="1">
      <c r="A12" s="6">
        <v>11</v>
      </c>
      <c r="B12" s="6" t="s">
        <v>1113</v>
      </c>
    </row>
    <row r="13" spans="1:2" ht="30" customHeight="1">
      <c r="A13" s="6">
        <v>12</v>
      </c>
      <c r="B13" s="6" t="s">
        <v>1114</v>
      </c>
    </row>
    <row r="14" spans="1:2" ht="30" customHeight="1">
      <c r="A14" s="6">
        <v>13</v>
      </c>
      <c r="B14" s="6" t="s">
        <v>1115</v>
      </c>
    </row>
    <row r="15" spans="1:2" ht="30" customHeight="1">
      <c r="A15" s="6">
        <v>14</v>
      </c>
      <c r="B15" s="6" t="s">
        <v>1116</v>
      </c>
    </row>
    <row r="16" spans="1:2" ht="30" customHeight="1">
      <c r="A16" s="6">
        <v>15</v>
      </c>
      <c r="B16" s="6" t="s">
        <v>1117</v>
      </c>
    </row>
    <row r="17" spans="1:2" ht="30" customHeight="1">
      <c r="A17" s="6">
        <v>16</v>
      </c>
      <c r="B17" s="6" t="s">
        <v>1118</v>
      </c>
    </row>
    <row r="18" spans="1:2" ht="30" customHeight="1">
      <c r="A18" s="6">
        <v>17</v>
      </c>
      <c r="B18" s="6" t="s">
        <v>1119</v>
      </c>
    </row>
    <row r="19" spans="1:2" ht="30" customHeight="1">
      <c r="A19" s="6">
        <v>18</v>
      </c>
      <c r="B19" s="6" t="s">
        <v>1120</v>
      </c>
    </row>
    <row r="20" spans="1:2" ht="30" customHeight="1">
      <c r="A20" s="6">
        <v>19</v>
      </c>
      <c r="B20" s="6" t="s">
        <v>1121</v>
      </c>
    </row>
    <row r="21" spans="1:2" ht="30" customHeight="1">
      <c r="A21" s="6">
        <v>20</v>
      </c>
      <c r="B21" s="6" t="s">
        <v>1122</v>
      </c>
    </row>
    <row r="22" spans="1:2" ht="30" customHeight="1">
      <c r="A22" s="6">
        <v>21</v>
      </c>
      <c r="B22" s="6" t="s">
        <v>1123</v>
      </c>
    </row>
    <row r="23" spans="1:2" ht="30" customHeight="1">
      <c r="A23" s="6">
        <v>22</v>
      </c>
      <c r="B23" s="6" t="s">
        <v>1124</v>
      </c>
    </row>
    <row r="24" spans="1:2" ht="30" customHeight="1">
      <c r="A24" s="6">
        <v>23</v>
      </c>
      <c r="B24" s="6" t="s">
        <v>1125</v>
      </c>
    </row>
    <row r="25" spans="1:2" ht="30" customHeight="1">
      <c r="A25" s="6">
        <v>24</v>
      </c>
      <c r="B25" s="6" t="s">
        <v>1126</v>
      </c>
    </row>
    <row r="26" spans="1:2" ht="30" customHeight="1">
      <c r="A26" s="6">
        <v>25</v>
      </c>
      <c r="B26" s="6" t="s">
        <v>1127</v>
      </c>
    </row>
    <row r="27" spans="1:2" ht="30" customHeight="1">
      <c r="A27" s="6">
        <v>26</v>
      </c>
      <c r="B27" s="6" t="s">
        <v>1128</v>
      </c>
    </row>
    <row r="28" spans="1:2" ht="30" customHeight="1">
      <c r="A28" s="6">
        <v>27</v>
      </c>
      <c r="B28" s="6" t="s">
        <v>1129</v>
      </c>
    </row>
    <row r="29" spans="1:2" ht="30" customHeight="1">
      <c r="A29" s="6">
        <v>28</v>
      </c>
      <c r="B29" s="6" t="s">
        <v>1130</v>
      </c>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B6C9C240938E554BB235C6F6285319CD" ma:contentTypeVersion="11" ma:contentTypeDescription="Ein neues Dokument erstellen." ma:contentTypeScope="" ma:versionID="e1bead05f34c00e04f23dbf806a2afe2">
  <xsd:schema xmlns:xsd="http://www.w3.org/2001/XMLSchema" xmlns:xs="http://www.w3.org/2001/XMLSchema" xmlns:p="http://schemas.microsoft.com/office/2006/metadata/properties" xmlns:ns2="42539dd8-a03e-4e74-a2e0-abdd773e091a" xmlns:ns3="f42899fe-da7f-464a-ae2f-04625c80ebe0" targetNamespace="http://schemas.microsoft.com/office/2006/metadata/properties" ma:root="true" ma:fieldsID="3d3b0222b5734b3504fa7a99a660897b" ns2:_="" ns3:_="">
    <xsd:import namespace="42539dd8-a03e-4e74-a2e0-abdd773e091a"/>
    <xsd:import namespace="f42899fe-da7f-464a-ae2f-04625c80ebe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539dd8-a03e-4e74-a2e0-abdd773e09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dfe1d35b-310b-4849-9eb5-957b4d675a5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42899fe-da7f-464a-ae2f-04625c80ebe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230409-d432-45b8-821c-93afe0c73553}" ma:internalName="TaxCatchAll" ma:showField="CatchAllData" ma:web="f42899fe-da7f-464a-ae2f-04625c80eb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42899fe-da7f-464a-ae2f-04625c80ebe0" xsi:nil="true"/>
    <lcf76f155ced4ddcb4097134ff3c332f xmlns="42539dd8-a03e-4e74-a2e0-abdd773e091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7BB8CD8-A91F-44E6-B772-98BA960AF3EC}"/>
</file>

<file path=customXml/itemProps2.xml><?xml version="1.0" encoding="utf-8"?>
<ds:datastoreItem xmlns:ds="http://schemas.openxmlformats.org/officeDocument/2006/customXml" ds:itemID="{5E2FDE62-2801-40D9-8313-098B9FEF360E}"/>
</file>

<file path=customXml/itemProps3.xml><?xml version="1.0" encoding="utf-8"?>
<ds:datastoreItem xmlns:ds="http://schemas.openxmlformats.org/officeDocument/2006/customXml" ds:itemID="{8593342E-DA51-4C16-AC64-F8C0D31613E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Felgentreu, Jessica</cp:lastModifiedBy>
  <cp:revision>0</cp:revision>
  <dcterms:created xsi:type="dcterms:W3CDTF">2026-08-19T12:31:21Z</dcterms:created>
  <dcterms:modified xsi:type="dcterms:W3CDTF">2026-09-10T10:44:46Z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0x010100B6C9C240938E554BB235C6F6285319CD</vt:lpwstr>
  </property>
  <property fmtid="{D5CDD505-2E9C-101B-9397-08002B2CF9AE}" pid="3" name="MediaServiceImageTags">
    <vt:lpwstr/>
  </property>
</Properties>
</file>